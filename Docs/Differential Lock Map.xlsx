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2299" documentId="8_{52CC542D-2C42-4976-9315-1380CBB8CA71}" xr6:coauthVersionLast="47" xr6:coauthVersionMax="47" xr10:uidLastSave="{C53368B0-6462-4AD1-8FAE-8BE8D7E41630}"/>
  <bookViews>
    <workbookView xWindow="-120" yWindow="-120" windowWidth="38640" windowHeight="21120" xr2:uid="{D4416D72-3604-43CB-A686-6E38D6CE2DE9}"/>
  </bookViews>
  <sheets>
    <sheet name="Grap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16" i="1" s="1"/>
  <c r="G4" i="1"/>
  <c r="G7" i="1"/>
  <c r="G18" i="1" s="1"/>
  <c r="G8" i="1"/>
  <c r="G19" i="1"/>
  <c r="C40" i="1"/>
  <c r="C39" i="1"/>
  <c r="G17" i="1"/>
  <c r="B12" i="1"/>
  <c r="B21" i="1" s="1"/>
  <c r="B11" i="1"/>
  <c r="B20" i="1" s="1"/>
  <c r="C38" i="1"/>
  <c r="C37" i="1"/>
  <c r="C36" i="1"/>
  <c r="G12" i="1"/>
  <c r="G21" i="1" s="1"/>
  <c r="G11" i="1"/>
  <c r="G20" i="1" s="1"/>
  <c r="H12" i="1"/>
  <c r="C12" i="1"/>
  <c r="H11" i="1"/>
  <c r="C11" i="1"/>
  <c r="H8" i="1"/>
  <c r="D8" i="1"/>
  <c r="C8" i="1"/>
  <c r="B8" i="1"/>
  <c r="B19" i="1" s="1"/>
  <c r="H7" i="1"/>
  <c r="C7" i="1"/>
  <c r="B7" i="1"/>
  <c r="B18" i="1" s="1"/>
  <c r="H4" i="1"/>
  <c r="G23" i="1" s="1"/>
  <c r="D4" i="1"/>
  <c r="B23" i="1" s="1"/>
  <c r="C4" i="1"/>
  <c r="B25" i="1" s="1"/>
  <c r="B4" i="1"/>
  <c r="B17" i="1" s="1"/>
  <c r="H3" i="1"/>
  <c r="G22" i="1" s="1"/>
  <c r="D3" i="1"/>
  <c r="C3" i="1"/>
  <c r="B3" i="1"/>
  <c r="B22" i="1"/>
  <c r="B24" i="1"/>
  <c r="C31" i="1"/>
  <c r="C30" i="1"/>
  <c r="C29" i="1"/>
  <c r="C34" i="1"/>
  <c r="C32" i="1"/>
  <c r="H32" i="1"/>
  <c r="H31" i="1"/>
  <c r="H30" i="1"/>
  <c r="H29" i="1"/>
  <c r="B16" i="1"/>
  <c r="C35" i="1" l="1"/>
  <c r="C33" i="1"/>
</calcChain>
</file>

<file path=xl/sharedStrings.xml><?xml version="1.0" encoding="utf-8"?>
<sst xmlns="http://schemas.openxmlformats.org/spreadsheetml/2006/main" count="57" uniqueCount="42">
  <si>
    <t>85</t>
    <phoneticPr fontId="1" type="noConversion"/>
  </si>
  <si>
    <t>Result</t>
    <phoneticPr fontId="1" type="noConversion"/>
  </si>
  <si>
    <t>85 4+4</t>
  </si>
  <si>
    <t>85 4+4</t>
    <phoneticPr fontId="1" type="noConversion"/>
  </si>
  <si>
    <t>85 6+6</t>
  </si>
  <si>
    <t>85 6+6</t>
    <phoneticPr fontId="1" type="noConversion"/>
  </si>
  <si>
    <t>Receiver F</t>
    <phoneticPr fontId="1" type="noConversion"/>
  </si>
  <si>
    <t>Receiver R</t>
    <phoneticPr fontId="1" type="noConversion"/>
  </si>
  <si>
    <t>Graph Power</t>
    <phoneticPr fontId="1" type="noConversion"/>
  </si>
  <si>
    <t>Graph Coast</t>
    <phoneticPr fontId="1" type="noConversion"/>
  </si>
  <si>
    <t>F</t>
    <phoneticPr fontId="1" type="noConversion"/>
  </si>
  <si>
    <t>R</t>
    <phoneticPr fontId="1" type="noConversion"/>
  </si>
  <si>
    <t>72 4+4</t>
  </si>
  <si>
    <t>72 4+4</t>
    <phoneticPr fontId="1" type="noConversion"/>
  </si>
  <si>
    <t>72 6+6</t>
  </si>
  <si>
    <t>72 6+6</t>
    <phoneticPr fontId="1" type="noConversion"/>
  </si>
  <si>
    <t>46/85</t>
    <phoneticPr fontId="1" type="noConversion"/>
  </si>
  <si>
    <t>50/85</t>
    <phoneticPr fontId="1" type="noConversion"/>
  </si>
  <si>
    <t>46 4+4</t>
  </si>
  <si>
    <t>46 4+4</t>
    <phoneticPr fontId="1" type="noConversion"/>
  </si>
  <si>
    <t>46 6+6</t>
  </si>
  <si>
    <t>46 6+6</t>
    <phoneticPr fontId="1" type="noConversion"/>
  </si>
  <si>
    <t>50 4+4</t>
  </si>
  <si>
    <t>50 4+4</t>
    <phoneticPr fontId="1" type="noConversion"/>
  </si>
  <si>
    <t>50 6+6</t>
  </si>
  <si>
    <t>50 6+6</t>
    <phoneticPr fontId="1" type="noConversion"/>
  </si>
  <si>
    <t>60/85</t>
    <phoneticPr fontId="1" type="noConversion"/>
  </si>
  <si>
    <t>60 4+4</t>
  </si>
  <si>
    <t>60 4+4</t>
    <phoneticPr fontId="1" type="noConversion"/>
  </si>
  <si>
    <t>60 6+6</t>
  </si>
  <si>
    <t>60 6+6</t>
    <phoneticPr fontId="1" type="noConversion"/>
  </si>
  <si>
    <t>44/85</t>
    <phoneticPr fontId="1" type="noConversion"/>
  </si>
  <si>
    <t>44 4+4</t>
  </si>
  <si>
    <t>44 4+4</t>
    <phoneticPr fontId="1" type="noConversion"/>
  </si>
  <si>
    <t>44 6+6</t>
  </si>
  <si>
    <t>44 6+6</t>
    <phoneticPr fontId="1" type="noConversion"/>
  </si>
  <si>
    <t>38/85</t>
    <phoneticPr fontId="1" type="noConversion"/>
  </si>
  <si>
    <t>38 4+4</t>
  </si>
  <si>
    <t>38 4+4</t>
    <phoneticPr fontId="1" type="noConversion"/>
  </si>
  <si>
    <t>38 6+6</t>
  </si>
  <si>
    <t>38 6+6</t>
    <phoneticPr fontId="1" type="noConversion"/>
  </si>
  <si>
    <t xml:space="preserve">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</si>
</sst>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scheme val="minor"/>
    </font>
    <font>
      <b/>
      <sz val="14"/>
      <color theme="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4"/>
      </left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2" xfId="0" applyNumberFormat="1" applyFont="1" applyBorder="1" applyAlignment="1">
      <alignment vertical="center" wrapText="1"/>
    </xf>
    <xf numFmtId="9" fontId="2" fillId="0" borderId="5" xfId="0" applyNumberFormat="1" applyFont="1" applyBorder="1" applyAlignment="1">
      <alignment vertical="center" wrapText="1"/>
    </xf>
    <xf numFmtId="9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Graph!$A$29:$A$34</c:f>
              <c:strCache>
                <c:ptCount val="6"/>
                <c:pt idx="0">
                  <c:v>46 6+6</c:v>
                </c:pt>
                <c:pt idx="1">
                  <c:v>50 6+6</c:v>
                </c:pt>
                <c:pt idx="2">
                  <c:v>46 4+4</c:v>
                </c:pt>
                <c:pt idx="3">
                  <c:v>50 4+4</c:v>
                </c:pt>
                <c:pt idx="4">
                  <c:v>60 6+6</c:v>
                </c:pt>
                <c:pt idx="5">
                  <c:v>60 4+4</c:v>
                </c:pt>
              </c:strCache>
            </c:strRef>
          </c:cat>
          <c:val>
            <c:numRef>
              <c:f>Graph!$C$29:$C$34</c:f>
              <c:numCache>
                <c:formatCode>0%</c:formatCode>
                <c:ptCount val="6"/>
                <c:pt idx="0">
                  <c:v>1</c:v>
                </c:pt>
                <c:pt idx="1">
                  <c:v>0.86891310437455982</c:v>
                </c:pt>
                <c:pt idx="2">
                  <c:v>0.76634591660498397</c:v>
                </c:pt>
                <c:pt idx="3">
                  <c:v>0.6658880094220041</c:v>
                </c:pt>
                <c:pt idx="4">
                  <c:v>0.59786370542100298</c:v>
                </c:pt>
                <c:pt idx="5">
                  <c:v>0.45817040933571068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03-468B-BD53-6B68413C0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560"/>
        <c:crosses val="autoZero"/>
        <c:auto val="1"/>
        <c:lblAlgn val="ctr"/>
        <c:lblOffset val="100"/>
        <c:noMultiLvlLbl val="0"/>
      </c:catAx>
      <c:valAx>
        <c:axId val="154677656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Graph!$A$35:$A$40</c:f>
              <c:strCache>
                <c:ptCount val="6"/>
                <c:pt idx="0">
                  <c:v>38 6+6</c:v>
                </c:pt>
                <c:pt idx="1">
                  <c:v>44 6+6</c:v>
                </c:pt>
                <c:pt idx="2">
                  <c:v>38 4+4</c:v>
                </c:pt>
                <c:pt idx="3">
                  <c:v>50 6+6</c:v>
                </c:pt>
                <c:pt idx="4">
                  <c:v>44 4+4</c:v>
                </c:pt>
                <c:pt idx="5">
                  <c:v>50 4+4</c:v>
                </c:pt>
              </c:strCache>
            </c:strRef>
          </c:cat>
          <c:val>
            <c:numRef>
              <c:f>Graph!$C$35:$C$40</c:f>
              <c:numCache>
                <c:formatCode>0%</c:formatCode>
                <c:ptCount val="6"/>
                <c:pt idx="0">
                  <c:v>1</c:v>
                </c:pt>
                <c:pt idx="1">
                  <c:v>0.80904494997656262</c:v>
                </c:pt>
                <c:pt idx="2">
                  <c:v>0.76634591660498397</c:v>
                </c:pt>
                <c:pt idx="3">
                  <c:v>0.65557648104589661</c:v>
                </c:pt>
                <c:pt idx="4">
                  <c:v>0.62000829376442235</c:v>
                </c:pt>
                <c:pt idx="5">
                  <c:v>0.50239835927178744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16-40EA-A635-7F7F70DC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3936"/>
        <c:crosses val="autoZero"/>
        <c:auto val="1"/>
        <c:lblAlgn val="ctr"/>
        <c:lblOffset val="100"/>
        <c:noMultiLvlLbl val="0"/>
      </c:catAx>
      <c:valAx>
        <c:axId val="1458893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2976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Graph!$F$29:$F$32</c:f>
              <c:strCache>
                <c:ptCount val="4"/>
                <c:pt idx="0">
                  <c:v>72 6+6</c:v>
                </c:pt>
                <c:pt idx="1">
                  <c:v>72 4+4</c:v>
                </c:pt>
                <c:pt idx="2">
                  <c:v>85 6+6</c:v>
                </c:pt>
                <c:pt idx="3">
                  <c:v>85 4+4</c:v>
                </c:pt>
              </c:strCache>
            </c:strRef>
          </c:cat>
          <c:val>
            <c:numRef>
              <c:f>Graph!$H$29:$H$32</c:f>
              <c:numCache>
                <c:formatCode>0%</c:formatCode>
                <c:ptCount val="4"/>
                <c:pt idx="0">
                  <c:v>1</c:v>
                </c:pt>
                <c:pt idx="1">
                  <c:v>0.76634591660498386</c:v>
                </c:pt>
                <c:pt idx="2">
                  <c:v>0.26926241942320117</c:v>
                </c:pt>
                <c:pt idx="3">
                  <c:v>0.20634815562014874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2-4AD1-850D-CD6620264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7552"/>
        <c:crosses val="autoZero"/>
        <c:auto val="1"/>
        <c:lblAlgn val="ctr"/>
        <c:lblOffset val="100"/>
        <c:noMultiLvlLbl val="0"/>
      </c:catAx>
      <c:valAx>
        <c:axId val="17026275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73666</xdr:colOff>
      <xdr:row>0</xdr:row>
      <xdr:rowOff>120776</xdr:rowOff>
    </xdr:from>
    <xdr:to>
      <xdr:col>15</xdr:col>
      <xdr:colOff>530866</xdr:colOff>
      <xdr:row>10</xdr:row>
      <xdr:rowOff>143485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BF6B9CA1-F4F0-3394-5920-C201A727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68330</xdr:colOff>
      <xdr:row>10</xdr:row>
      <xdr:rowOff>184810</xdr:rowOff>
    </xdr:from>
    <xdr:to>
      <xdr:col>15</xdr:col>
      <xdr:colOff>525531</xdr:colOff>
      <xdr:row>21</xdr:row>
      <xdr:rowOff>4569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CBEAE064-1858-F89C-0061-FBC07150B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66158</xdr:colOff>
      <xdr:row>21</xdr:row>
      <xdr:rowOff>28341</xdr:rowOff>
    </xdr:from>
    <xdr:to>
      <xdr:col>15</xdr:col>
      <xdr:colOff>517540</xdr:colOff>
      <xdr:row>31</xdr:row>
      <xdr:rowOff>78828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71A94C6-C8E0-BC44-477E-E25684CD4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I50"/>
  <sheetViews>
    <sheetView tabSelected="1" zoomScale="145" zoomScaleNormal="145" workbookViewId="0">
      <selection activeCell="F1" sqref="F1:I1"/>
    </sheetView>
  </sheetViews>
  <sheetFormatPr defaultRowHeight="14.25"/>
  <cols>
    <col min="1" max="4" width="12.625" customWidth="1"/>
    <col min="5" max="5" width="12.625" style="3" customWidth="1"/>
    <col min="6" max="9" width="12.625" customWidth="1"/>
  </cols>
  <sheetData>
    <row r="1" spans="1:9" ht="18">
      <c r="A1" s="14" t="s">
        <v>16</v>
      </c>
      <c r="B1" s="15"/>
      <c r="C1" s="15"/>
      <c r="D1" s="15"/>
      <c r="E1"/>
      <c r="F1" s="14" t="s">
        <v>36</v>
      </c>
      <c r="G1" s="15"/>
      <c r="H1" s="15"/>
      <c r="I1" s="15"/>
    </row>
    <row r="2" spans="1:9" ht="16.5" customHeight="1">
      <c r="A2" s="1"/>
      <c r="B2" s="1">
        <v>46</v>
      </c>
      <c r="C2" s="2" t="s">
        <v>0</v>
      </c>
      <c r="D2" s="6">
        <v>72</v>
      </c>
      <c r="E2"/>
      <c r="F2" s="1"/>
      <c r="G2" s="1">
        <v>38</v>
      </c>
      <c r="H2" s="6" t="s">
        <v>0</v>
      </c>
    </row>
    <row r="3" spans="1:9" ht="18">
      <c r="A3" s="1">
        <v>4</v>
      </c>
      <c r="B3" s="7">
        <f>(1/TAN(46*PI()/180))/(1/TAN(35*PI()/180))*0.325*(1+(A3-8)*0.0947)*2</f>
        <v>0.27302899394937191</v>
      </c>
      <c r="C3" s="7">
        <f>(1/TAN(85*PI()/180))/(1/TAN(35*PI()/180))*0.325*(1+(A3-8)*0.0947)*2</f>
        <v>2.4735652321556993E-2</v>
      </c>
      <c r="D3" s="7">
        <f>(1/TAN(72*PI()/180))/(1/TAN(35*PI()/180))*0.325*(1+(A3-8)*0.0947)*2</f>
        <v>9.186448065996107E-2</v>
      </c>
      <c r="E3"/>
      <c r="F3" s="1">
        <v>4</v>
      </c>
      <c r="G3" s="7">
        <f>(1/TAN(38*PI()/180))/(1/TAN(35*PI()/180))*0.325*(1+(F3-8)*0.0947)*2</f>
        <v>0.36187764139788098</v>
      </c>
      <c r="H3" s="7">
        <f>(1/TAN(85*PI()/180))/(1/TAN(35*PI()/180))*0.325*(1+(F3-8)*0.0947)*2</f>
        <v>2.4735652321556993E-2</v>
      </c>
    </row>
    <row r="4" spans="1:9" ht="18">
      <c r="A4" s="1">
        <v>6</v>
      </c>
      <c r="B4" s="7">
        <f>(1/TAN(46*PI()/180))/(1/TAN(35*PI()/180))*0.325*(1+(A4-8)*0.0947)*2</f>
        <v>0.35627382887211989</v>
      </c>
      <c r="C4" s="7">
        <f>(1/TAN(85*PI()/180))/(1/TAN(35*PI()/180))*0.325*(1+(A4-8)*0.0947)*2</f>
        <v>3.2277398216120572E-2</v>
      </c>
      <c r="D4" s="7">
        <f>(1/TAN(72*PI()/180))/(1/TAN(35*PI()/180))*0.325*(1+(A4-8)*0.0947)*2</f>
        <v>0.1198733870298848</v>
      </c>
      <c r="E4"/>
      <c r="F4" s="1">
        <v>6</v>
      </c>
      <c r="G4" s="7">
        <f>(1/TAN(38*PI()/180))/(1/TAN(35*PI()/180))*0.325*(1+(F4-8)*0.0947)*2</f>
        <v>0.4722118739812014</v>
      </c>
      <c r="H4" s="7">
        <f>(1/TAN(85*PI()/180))/(1/TAN(35*PI()/180))*0.325*(1+(F4-8)*0.0947)*2</f>
        <v>3.2277398216120572E-2</v>
      </c>
    </row>
    <row r="5" spans="1:9" ht="18">
      <c r="A5" s="14" t="s">
        <v>17</v>
      </c>
      <c r="B5" s="15"/>
      <c r="C5" s="15"/>
      <c r="D5" s="15"/>
      <c r="E5"/>
      <c r="F5" s="14" t="s">
        <v>31</v>
      </c>
      <c r="G5" s="15"/>
      <c r="H5" s="15"/>
      <c r="I5" s="15"/>
    </row>
    <row r="6" spans="1:9" ht="18">
      <c r="A6" s="1"/>
      <c r="B6" s="1">
        <v>50</v>
      </c>
      <c r="C6" s="2" t="s">
        <v>0</v>
      </c>
      <c r="D6" s="6">
        <v>72</v>
      </c>
      <c r="E6"/>
      <c r="F6" s="1"/>
      <c r="G6" s="1">
        <v>44</v>
      </c>
      <c r="H6" s="6" t="s">
        <v>0</v>
      </c>
    </row>
    <row r="7" spans="1:9" ht="18">
      <c r="A7" s="1">
        <v>4</v>
      </c>
      <c r="B7" s="7">
        <f>(1/TAN(50*PI()/180))/(1/TAN(35*PI()/180))*0.325*(1+(A7-8)*0.0947)*2</f>
        <v>0.23723847071681164</v>
      </c>
      <c r="C7" s="7">
        <f>(1/TAN(85*PI()/180))/(1/TAN(35*PI()/180))*0.325*(1+(A7-8)*0.0947)*2</f>
        <v>2.4735652321556993E-2</v>
      </c>
      <c r="D7" s="7" t="s">
        <v>41</v>
      </c>
      <c r="E7"/>
      <c r="F7" s="1">
        <v>4</v>
      </c>
      <c r="G7" s="7">
        <f>(1/TAN(44*PI()/180))/(1/TAN(35*PI()/180))*0.325*(1+(F7-8)*0.0947)*2</f>
        <v>0.29277527828238509</v>
      </c>
      <c r="H7" s="7">
        <f>(1/TAN(85*PI()/180))/(1/TAN(35*PI()/180))*0.325*(1+(F7-8)*0.0947)*2</f>
        <v>2.4735652321556993E-2</v>
      </c>
    </row>
    <row r="8" spans="1:9" ht="18">
      <c r="A8" s="1">
        <v>6</v>
      </c>
      <c r="B8" s="7">
        <f>(1/TAN(50*PI()/180))/(1/TAN(35*PI()/180))*0.325*(1+(A8-8)*0.0947)*2</f>
        <v>0.30957099865268439</v>
      </c>
      <c r="C8" s="7">
        <f>(1/TAN(85*PI()/180))/(1/TAN(35*PI()/180))*0.325*(1+(A8-8)*0.0947)*2</f>
        <v>3.2277398216120572E-2</v>
      </c>
      <c r="D8" s="7">
        <f>(1/TAN(72*PI()/180))/(1/TAN(35*PI()/180))*0.325*(1+(A8-8)*0.0947)*2</f>
        <v>0.1198733870298848</v>
      </c>
      <c r="E8"/>
      <c r="F8" s="1">
        <v>6</v>
      </c>
      <c r="G8" s="7">
        <f>(1/TAN(44*PI()/180))/(1/TAN(35*PI()/180))*0.325*(1+(F8-8)*0.0947)*2</f>
        <v>0.38204063196346</v>
      </c>
      <c r="H8" s="7">
        <f>(1/TAN(85*PI()/180))/(1/TAN(35*PI()/180))*0.325*(1+(F8-8)*0.0947)*2</f>
        <v>3.2277398216120572E-2</v>
      </c>
    </row>
    <row r="9" spans="1:9" ht="18">
      <c r="A9" s="14" t="s">
        <v>26</v>
      </c>
      <c r="B9" s="15"/>
      <c r="C9" s="15"/>
      <c r="D9" s="15"/>
      <c r="E9"/>
      <c r="F9" s="14" t="s">
        <v>17</v>
      </c>
      <c r="G9" s="15"/>
      <c r="H9" s="15"/>
      <c r="I9" s="15"/>
    </row>
    <row r="10" spans="1:9" ht="18">
      <c r="A10" s="1"/>
      <c r="B10" s="1">
        <v>60</v>
      </c>
      <c r="C10" s="6" t="s">
        <v>0</v>
      </c>
      <c r="F10" s="1"/>
      <c r="G10" s="1">
        <v>50</v>
      </c>
      <c r="H10" s="6" t="s">
        <v>0</v>
      </c>
    </row>
    <row r="11" spans="1:9" ht="18">
      <c r="A11" s="1">
        <v>4</v>
      </c>
      <c r="B11" s="7">
        <f>(1/TAN(60*PI()/180))/(1/TAN(35*PI()/180))*0.325*(1+(A11-8)*0.0947)*2</f>
        <v>0.16323412600994011</v>
      </c>
      <c r="C11" s="7">
        <f>(1/TAN(85*PI()/180))/(1/TAN(35*PI()/180))*0.325*(1+(A11-8)*0.0947)*2</f>
        <v>2.4735652321556993E-2</v>
      </c>
      <c r="D11" s="7"/>
      <c r="F11" s="1">
        <v>4</v>
      </c>
      <c r="G11" s="7">
        <f>(1/TAN(50*PI()/180))/(1/TAN(35*PI()/180))*0.325*(1+(F11-8)*0.0947)*2</f>
        <v>0.23723847071681164</v>
      </c>
      <c r="H11" s="7">
        <f>(1/TAN(85*PI()/180))/(1/TAN(35*PI()/180))*0.325*(1+(F11-8)*0.0947)*2</f>
        <v>2.4735652321556993E-2</v>
      </c>
    </row>
    <row r="12" spans="1:9" ht="18">
      <c r="A12" s="1">
        <v>6</v>
      </c>
      <c r="B12" s="7">
        <f>(1/TAN(60*PI()/180))/(1/TAN(35*PI()/180))*0.325*(1+(A12-8)*0.0947)*2</f>
        <v>0.21300319147401392</v>
      </c>
      <c r="C12" s="7">
        <f>(1/TAN(85*PI()/180))/(1/TAN(35*PI()/180))*0.325*(1+(A12-8)*0.0947)*2</f>
        <v>3.2277398216120572E-2</v>
      </c>
      <c r="D12" s="7"/>
      <c r="F12" s="1">
        <v>6</v>
      </c>
      <c r="G12" s="7">
        <f>(1/TAN(50*PI()/180))/(1/TAN(35*PI()/180))*0.325*(1+(F12-8)*0.0947)*2</f>
        <v>0.30957099865268439</v>
      </c>
      <c r="H12" s="7">
        <f>(1/TAN(85*PI()/180))/(1/TAN(35*PI()/180))*0.325*(1+(F12-8)*0.0947)*2</f>
        <v>3.2277398216120572E-2</v>
      </c>
    </row>
    <row r="13" spans="1:9">
      <c r="E13"/>
    </row>
    <row r="14" spans="1:9" ht="18">
      <c r="A14" s="14" t="s">
        <v>6</v>
      </c>
      <c r="B14" s="15"/>
      <c r="C14" s="15"/>
      <c r="D14" s="15"/>
      <c r="E14"/>
      <c r="F14" s="14" t="s">
        <v>7</v>
      </c>
      <c r="G14" s="15"/>
      <c r="H14" s="15"/>
      <c r="I14" s="15"/>
    </row>
    <row r="15" spans="1:9" ht="18">
      <c r="A15" s="1"/>
      <c r="B15" s="2" t="s">
        <v>1</v>
      </c>
      <c r="C15" s="2"/>
      <c r="D15" s="5"/>
      <c r="E15"/>
      <c r="F15" s="1"/>
      <c r="G15" s="2" t="s">
        <v>1</v>
      </c>
      <c r="H15" s="2"/>
      <c r="I15" s="5"/>
    </row>
    <row r="16" spans="1:9" ht="18">
      <c r="A16" s="1" t="s">
        <v>19</v>
      </c>
      <c r="B16" s="4">
        <f>B3</f>
        <v>0.27302899394937191</v>
      </c>
      <c r="C16" s="4"/>
      <c r="E16"/>
      <c r="F16" s="1" t="s">
        <v>38</v>
      </c>
      <c r="G16" s="4">
        <f>G3</f>
        <v>0.36187764139788098</v>
      </c>
      <c r="H16" s="4"/>
    </row>
    <row r="17" spans="1:9" ht="18">
      <c r="A17" s="1" t="s">
        <v>21</v>
      </c>
      <c r="B17" s="4">
        <f>B4</f>
        <v>0.35627382887211989</v>
      </c>
      <c r="C17" s="4"/>
      <c r="E17"/>
      <c r="F17" s="1" t="s">
        <v>40</v>
      </c>
      <c r="G17" s="4">
        <f>G4</f>
        <v>0.4722118739812014</v>
      </c>
      <c r="H17" s="4"/>
    </row>
    <row r="18" spans="1:9" ht="18">
      <c r="A18" s="1" t="s">
        <v>23</v>
      </c>
      <c r="B18" s="4">
        <f>B7</f>
        <v>0.23723847071681164</v>
      </c>
      <c r="C18" s="4"/>
      <c r="F18" s="1" t="s">
        <v>33</v>
      </c>
      <c r="G18" s="4">
        <f>G7</f>
        <v>0.29277527828238509</v>
      </c>
      <c r="H18" s="4"/>
    </row>
    <row r="19" spans="1:9" ht="18">
      <c r="A19" s="1" t="s">
        <v>25</v>
      </c>
      <c r="B19" s="4">
        <f>B8</f>
        <v>0.30957099865268439</v>
      </c>
      <c r="C19" s="4"/>
      <c r="F19" s="1" t="s">
        <v>35</v>
      </c>
      <c r="G19" s="4">
        <f>G8</f>
        <v>0.38204063196346</v>
      </c>
      <c r="H19" s="4"/>
    </row>
    <row r="20" spans="1:9" ht="18">
      <c r="A20" s="1" t="s">
        <v>28</v>
      </c>
      <c r="B20" s="4">
        <f>B11</f>
        <v>0.16323412600994011</v>
      </c>
      <c r="C20" s="4"/>
      <c r="F20" s="1" t="s">
        <v>23</v>
      </c>
      <c r="G20" s="4">
        <f>G11</f>
        <v>0.23723847071681164</v>
      </c>
      <c r="H20" s="4"/>
    </row>
    <row r="21" spans="1:9" ht="18">
      <c r="A21" s="1" t="s">
        <v>30</v>
      </c>
      <c r="B21" s="4">
        <f>B12</f>
        <v>0.21300319147401392</v>
      </c>
      <c r="C21" s="4"/>
      <c r="F21" s="1" t="s">
        <v>25</v>
      </c>
      <c r="G21" s="4">
        <f>G12</f>
        <v>0.30957099865268439</v>
      </c>
      <c r="H21" s="4"/>
    </row>
    <row r="22" spans="1:9" ht="18">
      <c r="A22" s="1" t="s">
        <v>13</v>
      </c>
      <c r="B22" s="4">
        <f>D3</f>
        <v>9.186448065996107E-2</v>
      </c>
      <c r="C22" s="4"/>
      <c r="F22" s="1" t="s">
        <v>3</v>
      </c>
      <c r="G22" s="4">
        <f>H3</f>
        <v>2.4735652321556993E-2</v>
      </c>
      <c r="H22" s="4"/>
    </row>
    <row r="23" spans="1:9" ht="18">
      <c r="A23" s="1" t="s">
        <v>15</v>
      </c>
      <c r="B23" s="4">
        <f>D4</f>
        <v>0.1198733870298848</v>
      </c>
      <c r="C23" s="4"/>
      <c r="F23" s="1" t="s">
        <v>5</v>
      </c>
      <c r="G23" s="4">
        <f>H4</f>
        <v>3.2277398216120572E-2</v>
      </c>
      <c r="H23" s="4"/>
    </row>
    <row r="24" spans="1:9" ht="18">
      <c r="A24" s="1" t="s">
        <v>3</v>
      </c>
      <c r="B24" s="4">
        <f>C3</f>
        <v>2.4735652321556993E-2</v>
      </c>
      <c r="C24" s="4"/>
      <c r="H24" s="4"/>
    </row>
    <row r="25" spans="1:9" ht="18">
      <c r="A25" s="1" t="s">
        <v>5</v>
      </c>
      <c r="B25" s="4">
        <f>C4</f>
        <v>3.2277398216120572E-2</v>
      </c>
      <c r="C25" s="4"/>
      <c r="H25" s="4"/>
    </row>
    <row r="27" spans="1:9" ht="18" customHeight="1">
      <c r="A27" s="14" t="s">
        <v>8</v>
      </c>
      <c r="B27" s="15"/>
      <c r="C27" s="15"/>
      <c r="D27" s="15"/>
      <c r="F27" s="14" t="s">
        <v>9</v>
      </c>
      <c r="G27" s="15"/>
      <c r="H27" s="15"/>
      <c r="I27" s="15"/>
    </row>
    <row r="28" spans="1:9" ht="18">
      <c r="A28" s="1"/>
      <c r="B28" s="2" t="s">
        <v>1</v>
      </c>
      <c r="C28" s="2"/>
      <c r="D28" s="5"/>
      <c r="F28" s="1"/>
      <c r="G28" s="2" t="s">
        <v>1</v>
      </c>
      <c r="H28" s="2"/>
      <c r="I28" s="5"/>
    </row>
    <row r="29" spans="1:9" ht="18">
      <c r="A29" s="1" t="s">
        <v>20</v>
      </c>
      <c r="B29" s="4">
        <v>0.35627382887211989</v>
      </c>
      <c r="C29" s="8">
        <f>B29/B29</f>
        <v>1</v>
      </c>
      <c r="D29" s="11" t="s">
        <v>10</v>
      </c>
      <c r="F29" s="1" t="s">
        <v>14</v>
      </c>
      <c r="G29" s="4">
        <v>0.11618497512127297</v>
      </c>
      <c r="H29" s="8">
        <f>G29/G29</f>
        <v>1</v>
      </c>
    </row>
    <row r="30" spans="1:9" ht="18">
      <c r="A30" s="1" t="s">
        <v>24</v>
      </c>
      <c r="B30" s="4">
        <v>0.30957099865268439</v>
      </c>
      <c r="C30" s="9">
        <f>B30/B29</f>
        <v>0.86891310437455982</v>
      </c>
      <c r="D30" s="12"/>
      <c r="F30" s="1" t="s">
        <v>12</v>
      </c>
      <c r="G30" s="4">
        <v>8.9037881255039183E-2</v>
      </c>
      <c r="H30" s="9">
        <f>G30/G29</f>
        <v>0.76634591660498386</v>
      </c>
    </row>
    <row r="31" spans="1:9" ht="18">
      <c r="A31" s="1" t="s">
        <v>18</v>
      </c>
      <c r="B31" s="4">
        <v>0.27302899394937191</v>
      </c>
      <c r="C31" s="9">
        <f>B31/B29</f>
        <v>0.76634591660498397</v>
      </c>
      <c r="D31" s="12"/>
      <c r="F31" s="1" t="s">
        <v>4</v>
      </c>
      <c r="G31" s="4">
        <v>3.1284247501778398E-2</v>
      </c>
      <c r="H31" s="9">
        <f>G31/G29</f>
        <v>0.26926241942320117</v>
      </c>
    </row>
    <row r="32" spans="1:9" ht="18">
      <c r="A32" s="1" t="s">
        <v>22</v>
      </c>
      <c r="B32" s="4">
        <v>0.23723847071681164</v>
      </c>
      <c r="C32" s="9">
        <f>B32/B29</f>
        <v>0.6658880094220041</v>
      </c>
      <c r="D32" s="12"/>
      <c r="F32" s="1" t="s">
        <v>2</v>
      </c>
      <c r="G32" s="4">
        <v>2.3974555327047547E-2</v>
      </c>
      <c r="H32" s="9">
        <f>G32/G29</f>
        <v>0.20634815562014874</v>
      </c>
    </row>
    <row r="33" spans="1:8" ht="18">
      <c r="A33" s="1" t="s">
        <v>29</v>
      </c>
      <c r="B33" s="4">
        <v>0.21300319147401392</v>
      </c>
      <c r="C33" s="9">
        <f>B33/B29</f>
        <v>0.59786370542100298</v>
      </c>
      <c r="D33" s="12"/>
      <c r="F33" s="1"/>
      <c r="G33" s="4"/>
      <c r="H33" s="9"/>
    </row>
    <row r="34" spans="1:8" ht="18">
      <c r="A34" s="1" t="s">
        <v>27</v>
      </c>
      <c r="B34" s="4">
        <v>0.16323412600994011</v>
      </c>
      <c r="C34" s="9">
        <f>B34/B29</f>
        <v>0.45817040933571068</v>
      </c>
      <c r="D34" s="13"/>
      <c r="F34" s="1"/>
      <c r="G34" s="4"/>
      <c r="H34" s="9"/>
    </row>
    <row r="35" spans="1:8" ht="18">
      <c r="A35" s="1" t="s">
        <v>39</v>
      </c>
      <c r="B35" s="4">
        <v>0.4722118739812014</v>
      </c>
      <c r="C35" s="8">
        <f>B35/B35</f>
        <v>1</v>
      </c>
      <c r="D35" s="11" t="s">
        <v>11</v>
      </c>
      <c r="F35" s="1"/>
      <c r="G35" s="4"/>
      <c r="H35" s="10"/>
    </row>
    <row r="36" spans="1:8" ht="18">
      <c r="A36" s="1" t="s">
        <v>34</v>
      </c>
      <c r="B36" s="4">
        <v>0.38204063196346</v>
      </c>
      <c r="C36" s="9">
        <f>B36/B35</f>
        <v>0.80904494997656262</v>
      </c>
      <c r="D36" s="12"/>
      <c r="F36" s="1"/>
      <c r="G36" s="4"/>
      <c r="H36" s="10"/>
    </row>
    <row r="37" spans="1:8" ht="18">
      <c r="A37" s="1" t="s">
        <v>37</v>
      </c>
      <c r="B37" s="4">
        <v>0.36187764139788098</v>
      </c>
      <c r="C37" s="9">
        <f>B37/B35</f>
        <v>0.76634591660498397</v>
      </c>
      <c r="D37" s="12"/>
      <c r="F37" s="1"/>
      <c r="G37" s="4"/>
      <c r="H37" s="10"/>
    </row>
    <row r="38" spans="1:8" ht="18">
      <c r="A38" s="1" t="s">
        <v>24</v>
      </c>
      <c r="B38" s="4">
        <v>0.30957099865268439</v>
      </c>
      <c r="C38" s="9">
        <f>B38/B35</f>
        <v>0.65557648104589661</v>
      </c>
      <c r="D38" s="12"/>
    </row>
    <row r="39" spans="1:8" ht="18">
      <c r="A39" s="1" t="s">
        <v>32</v>
      </c>
      <c r="B39" s="4">
        <v>0.29277527828238509</v>
      </c>
      <c r="C39" s="9">
        <f>B39/B35</f>
        <v>0.62000829376442235</v>
      </c>
      <c r="D39" s="12"/>
    </row>
    <row r="40" spans="1:8" ht="18">
      <c r="A40" s="1" t="s">
        <v>22</v>
      </c>
      <c r="B40" s="4">
        <v>0.23723847071681164</v>
      </c>
      <c r="C40" s="9">
        <f>B40/B35</f>
        <v>0.50239835927178744</v>
      </c>
      <c r="D40" s="13"/>
    </row>
    <row r="41" spans="1:8" ht="18">
      <c r="A41" s="1"/>
      <c r="B41" s="4"/>
      <c r="C41" s="4"/>
    </row>
    <row r="42" spans="1:8" ht="18">
      <c r="A42" s="1"/>
      <c r="B42" s="4"/>
      <c r="C42" s="4"/>
    </row>
    <row r="43" spans="1:8" ht="18">
      <c r="A43" s="1"/>
      <c r="B43" s="4"/>
      <c r="C43" s="4"/>
    </row>
    <row r="44" spans="1:8" ht="18">
      <c r="A44" s="1"/>
      <c r="B44" s="4"/>
      <c r="C44" s="4"/>
    </row>
    <row r="45" spans="1:8" ht="18">
      <c r="A45" s="1"/>
      <c r="B45" s="4"/>
      <c r="C45" s="4"/>
    </row>
    <row r="46" spans="1:8" ht="18">
      <c r="A46" s="1"/>
      <c r="B46" s="4"/>
      <c r="C46" s="4"/>
    </row>
    <row r="47" spans="1:8" ht="18">
      <c r="A47" s="1"/>
      <c r="B47" s="4"/>
      <c r="C47" s="4"/>
    </row>
    <row r="48" spans="1:8" ht="18">
      <c r="A48" s="1"/>
      <c r="B48" s="4"/>
      <c r="C48" s="4"/>
    </row>
    <row r="49" spans="1:3" ht="18">
      <c r="A49" s="1"/>
      <c r="B49" s="4"/>
      <c r="C49" s="4"/>
    </row>
    <row r="50" spans="1:3" ht="18">
      <c r="A50" s="1"/>
      <c r="B50" s="4"/>
      <c r="C50" s="4"/>
    </row>
  </sheetData>
  <sortState xmlns:xlrd2="http://schemas.microsoft.com/office/spreadsheetml/2017/richdata2" ref="A35:B40">
    <sortCondition descending="1" ref="B35:B40"/>
  </sortState>
  <mergeCells count="12">
    <mergeCell ref="D29:D34"/>
    <mergeCell ref="D35:D40"/>
    <mergeCell ref="F27:I27"/>
    <mergeCell ref="A1:D1"/>
    <mergeCell ref="A5:D5"/>
    <mergeCell ref="A9:D9"/>
    <mergeCell ref="A14:D14"/>
    <mergeCell ref="A27:D27"/>
    <mergeCell ref="F1:I1"/>
    <mergeCell ref="F5:I5"/>
    <mergeCell ref="F9:I9"/>
    <mergeCell ref="F14:I14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2026-02-13T16:12:47Z</dcterms:modified>
</cp:coreProperties>
</file>