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030e980fc414b5/Documents/BeamNG/"/>
    </mc:Choice>
  </mc:AlternateContent>
  <xr:revisionPtr revIDLastSave="1540" documentId="8_{52CC542D-2C42-4976-9315-1380CBB8CA71}" xr6:coauthVersionLast="47" xr6:coauthVersionMax="47" xr10:uidLastSave="{FD5D64BB-138C-4135-BAEB-FEA610AA5B9A}"/>
  <bookViews>
    <workbookView xWindow="-120" yWindow="-120" windowWidth="38640" windowHeight="21840" xr2:uid="{D4416D72-3604-43CB-A686-6E38D6CE2DE9}"/>
  </bookViews>
  <sheets>
    <sheet name="Fro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0" i="1" s="1"/>
  <c r="B5" i="1"/>
  <c r="B21" i="1" s="1"/>
  <c r="B3" i="1"/>
  <c r="B19" i="1" s="1"/>
  <c r="G15" i="1"/>
  <c r="G27" i="1" s="1"/>
  <c r="G14" i="1"/>
  <c r="G26" i="1" s="1"/>
  <c r="G13" i="1"/>
  <c r="G10" i="1"/>
  <c r="G9" i="1"/>
  <c r="G8" i="1"/>
  <c r="B10" i="1"/>
  <c r="B24" i="1" s="1"/>
  <c r="B9" i="1"/>
  <c r="B23" i="1" s="1"/>
  <c r="B8" i="1"/>
  <c r="B22" i="1" s="1"/>
  <c r="G25" i="1"/>
  <c r="G23" i="1"/>
  <c r="H13" i="1"/>
  <c r="H14" i="1"/>
  <c r="H15" i="1"/>
  <c r="G5" i="1"/>
  <c r="G21" i="1" s="1"/>
  <c r="G4" i="1"/>
  <c r="G3" i="1"/>
  <c r="G19" i="1" s="1"/>
  <c r="G22" i="1"/>
  <c r="G20" i="1"/>
  <c r="B15" i="1"/>
  <c r="B27" i="1" s="1"/>
  <c r="B14" i="1"/>
  <c r="B26" i="1" s="1"/>
  <c r="B13" i="1"/>
  <c r="B25" i="1" s="1"/>
  <c r="G24" i="1"/>
  <c r="C5" i="1"/>
  <c r="B33" i="1" s="1"/>
  <c r="D5" i="1"/>
  <c r="B30" i="1" s="1"/>
  <c r="C10" i="1"/>
  <c r="D10" i="1"/>
  <c r="C15" i="1"/>
  <c r="H5" i="1"/>
  <c r="G30" i="1" s="1"/>
  <c r="H10" i="1"/>
  <c r="D9" i="1"/>
  <c r="D8" i="1"/>
  <c r="D4" i="1"/>
  <c r="B29" i="1" s="1"/>
  <c r="D3" i="1"/>
  <c r="B28" i="1" s="1"/>
  <c r="H9" i="1"/>
  <c r="H8" i="1"/>
  <c r="H4" i="1"/>
  <c r="G29" i="1" s="1"/>
  <c r="H3" i="1"/>
  <c r="G28" i="1" s="1"/>
  <c r="C13" i="1"/>
  <c r="C14" i="1"/>
  <c r="C8" i="1"/>
  <c r="C9" i="1"/>
  <c r="C4" i="1"/>
  <c r="B32" i="1" s="1"/>
  <c r="C3" i="1"/>
  <c r="B31" i="1" s="1"/>
</calcChain>
</file>

<file path=xl/sharedStrings.xml><?xml version="1.0" encoding="utf-8"?>
<sst xmlns="http://schemas.openxmlformats.org/spreadsheetml/2006/main" count="74" uniqueCount="49">
  <si>
    <t>85</t>
    <phoneticPr fontId="1" type="noConversion"/>
  </si>
  <si>
    <t>70</t>
  </si>
  <si>
    <t>Result</t>
    <phoneticPr fontId="1" type="noConversion"/>
  </si>
  <si>
    <t>85 4+4</t>
  </si>
  <si>
    <t>85 4+4</t>
    <phoneticPr fontId="1" type="noConversion"/>
  </si>
  <si>
    <t>85 6+6</t>
  </si>
  <si>
    <t>85 6+6</t>
    <phoneticPr fontId="1" type="noConversion"/>
  </si>
  <si>
    <t>85 8+8</t>
  </si>
  <si>
    <t>85 8+8</t>
    <phoneticPr fontId="1" type="noConversion"/>
  </si>
  <si>
    <t>40 4+4</t>
  </si>
  <si>
    <t>40 6+6</t>
  </si>
  <si>
    <t>40 8+8</t>
  </si>
  <si>
    <t>55 4+4</t>
  </si>
  <si>
    <t>55 6+6</t>
  </si>
  <si>
    <t>55 8+8</t>
  </si>
  <si>
    <t>Receiver F</t>
    <phoneticPr fontId="1" type="noConversion"/>
  </si>
  <si>
    <t>Receiver R</t>
    <phoneticPr fontId="1" type="noConversion"/>
  </si>
  <si>
    <t>Graph Power</t>
    <phoneticPr fontId="1" type="noConversion"/>
  </si>
  <si>
    <t>Graph Coast</t>
    <phoneticPr fontId="1" type="noConversion"/>
  </si>
  <si>
    <t>60</t>
  </si>
  <si>
    <t>60 4+4</t>
  </si>
  <si>
    <t>60 6+6</t>
  </si>
  <si>
    <t>60 8+8</t>
  </si>
  <si>
    <t>70 4+4</t>
  </si>
  <si>
    <t>70 6+6</t>
  </si>
  <si>
    <t>70 8+8</t>
  </si>
  <si>
    <t>45 4+4</t>
  </si>
  <si>
    <t>45 4+4</t>
    <phoneticPr fontId="1" type="noConversion"/>
  </si>
  <si>
    <t>45 6+6</t>
  </si>
  <si>
    <t>45 6+6</t>
    <phoneticPr fontId="1" type="noConversion"/>
  </si>
  <si>
    <t>45 8+8</t>
  </si>
  <si>
    <t>45 8+8</t>
    <phoneticPr fontId="1" type="noConversion"/>
  </si>
  <si>
    <t>45/85</t>
    <phoneticPr fontId="1" type="noConversion"/>
  </si>
  <si>
    <t>60/85</t>
    <phoneticPr fontId="1" type="noConversion"/>
  </si>
  <si>
    <t>50/85</t>
    <phoneticPr fontId="1" type="noConversion"/>
  </si>
  <si>
    <t>40/85</t>
    <phoneticPr fontId="1" type="noConversion"/>
  </si>
  <si>
    <t>55/85</t>
    <phoneticPr fontId="1" type="noConversion"/>
  </si>
  <si>
    <t>55 4+4</t>
    <phoneticPr fontId="1" type="noConversion"/>
  </si>
  <si>
    <t>55 6+6</t>
    <phoneticPr fontId="1" type="noConversion"/>
  </si>
  <si>
    <t>55 8+8</t>
    <phoneticPr fontId="1" type="noConversion"/>
  </si>
  <si>
    <t>40 4+4</t>
    <phoneticPr fontId="1" type="noConversion"/>
  </si>
  <si>
    <t>40 6+6</t>
    <phoneticPr fontId="1" type="noConversion"/>
  </si>
  <si>
    <t>40 8+8</t>
    <phoneticPr fontId="1" type="noConversion"/>
  </si>
  <si>
    <t>50 4+4</t>
  </si>
  <si>
    <t>50 4+4</t>
    <phoneticPr fontId="1" type="noConversion"/>
  </si>
  <si>
    <t>50 6+6</t>
  </si>
  <si>
    <t>50 6+6</t>
    <phoneticPr fontId="1" type="noConversion"/>
  </si>
  <si>
    <t>50 8+8</t>
  </si>
  <si>
    <t>50 8+8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</si>
</sst>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name val="等线"/>
      <family val="2"/>
      <scheme val="minor"/>
    </font>
    <font>
      <b/>
      <sz val="14"/>
      <color theme="1"/>
      <name val="等线"/>
      <family val="2"/>
      <scheme val="minor"/>
    </font>
    <font>
      <b/>
      <sz val="14"/>
      <color theme="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Front!$A$37:$A$45</c:f>
              <c:strCache>
                <c:ptCount val="9"/>
                <c:pt idx="0">
                  <c:v>45 8+8</c:v>
                </c:pt>
                <c:pt idx="1">
                  <c:v>45 6+6</c:v>
                </c:pt>
                <c:pt idx="2">
                  <c:v>55 8+8</c:v>
                </c:pt>
                <c:pt idx="3">
                  <c:v>60 8+8</c:v>
                </c:pt>
                <c:pt idx="4">
                  <c:v>55 6+6</c:v>
                </c:pt>
                <c:pt idx="5">
                  <c:v>45 4+4</c:v>
                </c:pt>
                <c:pt idx="6">
                  <c:v>60 6+6</c:v>
                </c:pt>
                <c:pt idx="7">
                  <c:v>55 4+4</c:v>
                </c:pt>
                <c:pt idx="8">
                  <c:v>60 4+4</c:v>
                </c:pt>
              </c:strCache>
            </c:strRef>
          </c:cat>
          <c:val>
            <c:numRef>
              <c:f>Front!$B$37:$B$45</c:f>
              <c:numCache>
                <c:formatCode>General</c:formatCode>
                <c:ptCount val="9"/>
                <c:pt idx="0">
                  <c:v>0.4622003559957894</c:v>
                </c:pt>
                <c:pt idx="1">
                  <c:v>0.34665026699684204</c:v>
                </c:pt>
                <c:pt idx="2">
                  <c:v>0.32371360994672466</c:v>
                </c:pt>
                <c:pt idx="3">
                  <c:v>0.26696609004326377</c:v>
                </c:pt>
                <c:pt idx="4">
                  <c:v>0.24278520746004351</c:v>
                </c:pt>
                <c:pt idx="5">
                  <c:v>0.2311001779978947</c:v>
                </c:pt>
                <c:pt idx="6">
                  <c:v>0.20022456753244783</c:v>
                </c:pt>
                <c:pt idx="7">
                  <c:v>0.16185680497336233</c:v>
                </c:pt>
                <c:pt idx="8">
                  <c:v>0.13348304502163189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3-468B-BD53-6B68413C0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6776080"/>
        <c:axId val="1546776560"/>
      </c:barChart>
      <c:catAx>
        <c:axId val="154677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6776560"/>
        <c:crosses val="autoZero"/>
        <c:auto val="1"/>
        <c:lblAlgn val="ctr"/>
        <c:lblOffset val="100"/>
        <c:noMultiLvlLbl val="0"/>
      </c:catAx>
      <c:valAx>
        <c:axId val="154677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677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Front!$A$47:$A$55</c:f>
              <c:strCache>
                <c:ptCount val="9"/>
                <c:pt idx="0">
                  <c:v>40 8+8</c:v>
                </c:pt>
                <c:pt idx="1">
                  <c:v>40 6+6</c:v>
                </c:pt>
                <c:pt idx="2">
                  <c:v>50 8+8</c:v>
                </c:pt>
                <c:pt idx="3">
                  <c:v>55 8+8</c:v>
                </c:pt>
                <c:pt idx="4">
                  <c:v>50 6+6</c:v>
                </c:pt>
                <c:pt idx="5">
                  <c:v>40 4+4</c:v>
                </c:pt>
                <c:pt idx="6">
                  <c:v>55 6+6</c:v>
                </c:pt>
                <c:pt idx="7">
                  <c:v>50 4+4</c:v>
                </c:pt>
                <c:pt idx="8">
                  <c:v>55 4+4</c:v>
                </c:pt>
              </c:strCache>
            </c:strRef>
          </c:cat>
          <c:val>
            <c:numRef>
              <c:f>Front!$B$47:$B$55</c:f>
              <c:numCache>
                <c:formatCode>General</c:formatCode>
                <c:ptCount val="9"/>
                <c:pt idx="0">
                  <c:v>0.5507862382156381</c:v>
                </c:pt>
                <c:pt idx="1">
                  <c:v>0.41308967866172858</c:v>
                </c:pt>
                <c:pt idx="2">
                  <c:v>0.3878717325280937</c:v>
                </c:pt>
                <c:pt idx="3">
                  <c:v>0.32371360994672466</c:v>
                </c:pt>
                <c:pt idx="4">
                  <c:v>0.29090379939607025</c:v>
                </c:pt>
                <c:pt idx="5">
                  <c:v>0.27539311910781905</c:v>
                </c:pt>
                <c:pt idx="6">
                  <c:v>0.24278520746004351</c:v>
                </c:pt>
                <c:pt idx="7">
                  <c:v>0.19393586626404685</c:v>
                </c:pt>
                <c:pt idx="8">
                  <c:v>0.16185680497336233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6-40EA-A635-7F7F70DCC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8892976"/>
        <c:axId val="1458893936"/>
      </c:barChart>
      <c:catAx>
        <c:axId val="145889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8893936"/>
        <c:crosses val="autoZero"/>
        <c:auto val="1"/>
        <c:lblAlgn val="ctr"/>
        <c:lblOffset val="100"/>
        <c:noMultiLvlLbl val="0"/>
      </c:catAx>
      <c:valAx>
        <c:axId val="145889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889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COAST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Front!$F$37:$F$42</c:f>
              <c:strCache>
                <c:ptCount val="6"/>
                <c:pt idx="0">
                  <c:v>70 8+8</c:v>
                </c:pt>
                <c:pt idx="1">
                  <c:v>70 6+6</c:v>
                </c:pt>
                <c:pt idx="2">
                  <c:v>70 4+4</c:v>
                </c:pt>
                <c:pt idx="3">
                  <c:v>85 8+8</c:v>
                </c:pt>
                <c:pt idx="4">
                  <c:v>85 6+6</c:v>
                </c:pt>
                <c:pt idx="5">
                  <c:v>85 4+4</c:v>
                </c:pt>
              </c:strCache>
            </c:strRef>
          </c:cat>
          <c:val>
            <c:numRef>
              <c:f>Front!$G$37:$G$42</c:f>
              <c:numCache>
                <c:formatCode>General</c:formatCode>
                <c:ptCount val="6"/>
                <c:pt idx="0">
                  <c:v>0.33059357466368999</c:v>
                </c:pt>
                <c:pt idx="1">
                  <c:v>0.24794518114776781</c:v>
                </c:pt>
                <c:pt idx="2">
                  <c:v>0.1652967874318452</c:v>
                </c:pt>
                <c:pt idx="3">
                  <c:v>0.08</c:v>
                </c:pt>
                <c:pt idx="4">
                  <c:v>0.06</c:v>
                </c:pt>
                <c:pt idx="5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2-4AD1-850D-CD6620264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625632"/>
        <c:axId val="1702627552"/>
      </c:barChart>
      <c:catAx>
        <c:axId val="170262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2627552"/>
        <c:crosses val="autoZero"/>
        <c:auto val="1"/>
        <c:lblAlgn val="ctr"/>
        <c:lblOffset val="100"/>
        <c:noMultiLvlLbl val="0"/>
      </c:catAx>
      <c:valAx>
        <c:axId val="170262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262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73666</xdr:colOff>
      <xdr:row>0</xdr:row>
      <xdr:rowOff>120776</xdr:rowOff>
    </xdr:from>
    <xdr:to>
      <xdr:col>15</xdr:col>
      <xdr:colOff>530866</xdr:colOff>
      <xdr:row>12</xdr:row>
      <xdr:rowOff>143485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BF6B9CA1-F4F0-3394-5920-C201A727E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70101</xdr:colOff>
      <xdr:row>13</xdr:row>
      <xdr:rowOff>64283</xdr:rowOff>
    </xdr:from>
    <xdr:to>
      <xdr:col>15</xdr:col>
      <xdr:colOff>527301</xdr:colOff>
      <xdr:row>25</xdr:row>
      <xdr:rowOff>110266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CBEAE064-1858-F89C-0061-FBC07150B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86992</xdr:colOff>
      <xdr:row>26</xdr:row>
      <xdr:rowOff>87743</xdr:rowOff>
    </xdr:from>
    <xdr:to>
      <xdr:col>15</xdr:col>
      <xdr:colOff>538374</xdr:colOff>
      <xdr:row>38</xdr:row>
      <xdr:rowOff>133726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B71A94C6-C8E0-BC44-477E-E25684CD4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2CF9-C721-44C5-8A93-F91D726F5388}">
  <dimension ref="A1:I58"/>
  <sheetViews>
    <sheetView tabSelected="1" zoomScale="175" zoomScaleNormal="175" workbookViewId="0">
      <selection activeCell="G3" sqref="G3"/>
    </sheetView>
  </sheetViews>
  <sheetFormatPr defaultRowHeight="14.25"/>
  <cols>
    <col min="1" max="4" width="12.625" customWidth="1"/>
    <col min="5" max="5" width="12.625" style="3" customWidth="1"/>
    <col min="6" max="9" width="12.625" customWidth="1"/>
  </cols>
  <sheetData>
    <row r="1" spans="1:9" ht="18">
      <c r="A1" s="6" t="s">
        <v>32</v>
      </c>
      <c r="B1" s="7"/>
      <c r="C1" s="7"/>
      <c r="D1" s="7"/>
      <c r="E1"/>
      <c r="F1" s="6" t="s">
        <v>35</v>
      </c>
      <c r="G1" s="7"/>
      <c r="H1" s="7"/>
      <c r="I1" s="7"/>
    </row>
    <row r="2" spans="1:9" ht="16.5" customHeight="1">
      <c r="A2" s="1"/>
      <c r="B2" s="1">
        <v>45</v>
      </c>
      <c r="C2" s="2" t="s">
        <v>0</v>
      </c>
      <c r="D2" s="8" t="s">
        <v>1</v>
      </c>
      <c r="E2"/>
      <c r="F2" s="1"/>
      <c r="G2" s="1">
        <v>40</v>
      </c>
      <c r="H2" s="8" t="s">
        <v>0</v>
      </c>
    </row>
    <row r="3" spans="1:9" ht="18">
      <c r="A3" s="1">
        <v>4</v>
      </c>
      <c r="B3" s="9">
        <f>(1/TAN(45*3.14/180))/(1/TAN(35*3.14/180))*0.33*(A3/8)*2</f>
        <v>0.2311001779978947</v>
      </c>
      <c r="C3" s="10">
        <f>(1/TAN(85*3.14/180))/(1/TAN(85*3.14/180))*0.04*(A3/8)*2</f>
        <v>0.04</v>
      </c>
      <c r="D3" s="11">
        <f>(1/TAN(70*3.14/180))/(1/TAN(85*3.14/180))*0.04*(A3/8)*2</f>
        <v>0.1652967874318452</v>
      </c>
      <c r="E3"/>
      <c r="F3" s="1">
        <v>4</v>
      </c>
      <c r="G3" s="9">
        <f>(1/TAN(40*3.14/180))/(1/TAN(35*3.14/180))*0.33*(F3/8)*2</f>
        <v>0.27539311910781905</v>
      </c>
      <c r="H3" s="11">
        <f>(1/TAN(85*3.14/180))/(1/TAN(85*3.14/180))*0.04*(F3/8)*2</f>
        <v>0.04</v>
      </c>
    </row>
    <row r="4" spans="1:9" ht="18">
      <c r="A4" s="1">
        <v>6</v>
      </c>
      <c r="B4" s="9">
        <f>(1/TAN(45*3.14/180))/(1/TAN(35*3.14/180))*0.33*(A4/8)*2</f>
        <v>0.34665026699684204</v>
      </c>
      <c r="C4" s="10">
        <f t="shared" ref="C4:C5" si="0">(1/TAN(85*3.14/180))/(1/TAN(85*3.14/180))*0.04*(A4/8)*2</f>
        <v>0.06</v>
      </c>
      <c r="D4" s="11">
        <f>(1/TAN(70*3.14/180))/(1/TAN(85*3.14/180))*0.04*(A4/8)*2</f>
        <v>0.24794518114776781</v>
      </c>
      <c r="E4"/>
      <c r="F4" s="1">
        <v>6</v>
      </c>
      <c r="G4" s="9">
        <f>(1/TAN(40*3.14/180))/(1/TAN(35*3.14/180))*0.33*(F4/8)*2</f>
        <v>0.41308967866172858</v>
      </c>
      <c r="H4" s="11">
        <f t="shared" ref="H4:H5" si="1">(1/TAN(85*3.14/180))/(1/TAN(85*3.14/180))*0.04*(F4/8)*2</f>
        <v>0.06</v>
      </c>
    </row>
    <row r="5" spans="1:9" ht="18">
      <c r="A5" s="1">
        <v>8</v>
      </c>
      <c r="B5" s="4">
        <f>(1/TAN(45*3.14/180))/(1/TAN(35*3.14/180))*0.33*(A5/8)*2</f>
        <v>0.4622003559957894</v>
      </c>
      <c r="C5" s="12">
        <f t="shared" si="0"/>
        <v>0.08</v>
      </c>
      <c r="D5" s="13">
        <f>(1/TAN(70*3.14/180))/(1/TAN(85*3.14/180))*0.04*(A5/8)*2</f>
        <v>0.3305935748636904</v>
      </c>
      <c r="E5"/>
      <c r="F5" s="1">
        <v>8</v>
      </c>
      <c r="G5" s="4">
        <f>(1/TAN(40*3.14/180))/(1/TAN(35*3.14/180))*0.33*(F5/8)*2</f>
        <v>0.5507862382156381</v>
      </c>
      <c r="H5" s="13">
        <f t="shared" si="1"/>
        <v>0.08</v>
      </c>
    </row>
    <row r="6" spans="1:9" ht="18">
      <c r="A6" s="6" t="s">
        <v>36</v>
      </c>
      <c r="B6" s="7"/>
      <c r="C6" s="7"/>
      <c r="D6" s="7"/>
      <c r="E6"/>
      <c r="F6" s="6" t="s">
        <v>34</v>
      </c>
      <c r="G6" s="7"/>
      <c r="H6" s="7"/>
      <c r="I6" s="7"/>
    </row>
    <row r="7" spans="1:9" ht="18">
      <c r="A7" s="1"/>
      <c r="B7" s="1">
        <v>55</v>
      </c>
      <c r="C7" s="2" t="s">
        <v>0</v>
      </c>
      <c r="D7" s="8" t="s">
        <v>1</v>
      </c>
      <c r="E7"/>
      <c r="F7" s="1"/>
      <c r="G7" s="1">
        <v>50</v>
      </c>
      <c r="H7" s="8" t="s">
        <v>0</v>
      </c>
    </row>
    <row r="8" spans="1:9" ht="18">
      <c r="A8" s="1">
        <v>4</v>
      </c>
      <c r="B8" s="9">
        <f>(1/TAN(55*3.14/180))/(1/TAN(35*3.14/180))*0.33*(A8/8)*2</f>
        <v>0.16185680497336233</v>
      </c>
      <c r="C8" s="10">
        <f t="shared" ref="C8:C10" si="2">(1/TAN(85*3.14/180))/(1/TAN(85*3.14/180))*0.04*(A8/8)*2</f>
        <v>0.04</v>
      </c>
      <c r="D8" s="11">
        <f>(1/TAN(70*3.14/180))/(1/TAN(85*3.14/180))*0.04*(A8/8)*2</f>
        <v>0.1652967874318452</v>
      </c>
      <c r="E8"/>
      <c r="F8" s="1">
        <v>4</v>
      </c>
      <c r="G8" s="9">
        <f>(1/TAN(50*3.14/180))/(1/TAN(35*3.14/180))*0.33*(F8/8)*2</f>
        <v>0.19393586626404685</v>
      </c>
      <c r="H8" s="11">
        <f t="shared" ref="H8:H10" si="3">(1/TAN(85*3.14/180))/(1/TAN(85*3.14/180))*0.04*(F8/8)*2</f>
        <v>0.04</v>
      </c>
    </row>
    <row r="9" spans="1:9" ht="18">
      <c r="A9" s="1">
        <v>6</v>
      </c>
      <c r="B9" s="9">
        <f>(1/TAN(55*3.14/180))/(1/TAN(35*3.14/180))*0.33*(A9/8)*2</f>
        <v>0.24278520746004351</v>
      </c>
      <c r="C9" s="10">
        <f t="shared" si="2"/>
        <v>0.06</v>
      </c>
      <c r="D9" s="11">
        <f>(1/TAN(70*3.14/180))/(1/TAN(85*3.14/180))*0.04*(A9/8)*2</f>
        <v>0.24794518114776781</v>
      </c>
      <c r="E9"/>
      <c r="F9" s="1">
        <v>6</v>
      </c>
      <c r="G9" s="9">
        <f>(1/TAN(50*3.14/180))/(1/TAN(35*3.14/180))*0.33*(F9/8)*2</f>
        <v>0.29090379939607025</v>
      </c>
      <c r="H9" s="11">
        <f t="shared" si="3"/>
        <v>0.06</v>
      </c>
    </row>
    <row r="10" spans="1:9" ht="18">
      <c r="A10" s="1">
        <v>8</v>
      </c>
      <c r="B10" s="4">
        <f>(1/TAN(55*3.14/180))/(1/TAN(35*3.14/180))*0.33*(A10/8)*2</f>
        <v>0.32371360994672466</v>
      </c>
      <c r="C10" s="12">
        <f t="shared" si="2"/>
        <v>0.08</v>
      </c>
      <c r="D10" s="14">
        <f>(1/TAN(70*3.14/180))/(1/TAN(85*3.14/180))*0.04*(A10/8)*2</f>
        <v>0.3305935748636904</v>
      </c>
      <c r="E10"/>
      <c r="F10" s="1">
        <v>8</v>
      </c>
      <c r="G10" s="4">
        <f>(1/TAN(50*3.14/180))/(1/TAN(35*3.14/180))*0.33*(F10/8)*2</f>
        <v>0.3878717325280937</v>
      </c>
      <c r="H10" s="13">
        <f t="shared" si="3"/>
        <v>0.08</v>
      </c>
    </row>
    <row r="11" spans="1:9" ht="18">
      <c r="A11" s="6" t="s">
        <v>33</v>
      </c>
      <c r="B11" s="7"/>
      <c r="C11" s="7"/>
      <c r="D11" s="7"/>
      <c r="E11"/>
      <c r="F11" s="6" t="s">
        <v>36</v>
      </c>
      <c r="G11" s="7"/>
      <c r="H11" s="7"/>
      <c r="I11" s="7"/>
    </row>
    <row r="12" spans="1:9" ht="18">
      <c r="A12" s="1"/>
      <c r="B12" s="1" t="s">
        <v>19</v>
      </c>
      <c r="C12" s="8" t="s">
        <v>0</v>
      </c>
      <c r="F12" s="1"/>
      <c r="G12" s="1">
        <v>55</v>
      </c>
      <c r="H12" s="8" t="s">
        <v>0</v>
      </c>
    </row>
    <row r="13" spans="1:9" ht="18">
      <c r="A13" s="1">
        <v>4</v>
      </c>
      <c r="B13" s="9">
        <f>(1/TAN(60*3.14/180))/(1/TAN(35*3.14/180))*0.33*(A13/8)*2</f>
        <v>0.13348304502163189</v>
      </c>
      <c r="C13" s="11">
        <f t="shared" ref="C13:C15" si="4">(1/TAN(85*3.14/180))/(1/TAN(85*3.14/180))*0.04*(A13/8)*2</f>
        <v>0.04</v>
      </c>
      <c r="F13" s="1">
        <v>4</v>
      </c>
      <c r="G13" s="9">
        <f>(1/TAN(55*3.14/180))/(1/TAN(35*3.14/180))*0.33*(F13/8)*2</f>
        <v>0.16185680497336233</v>
      </c>
      <c r="H13" s="11">
        <f t="shared" ref="H13:H15" si="5">(1/TAN(85*3.14/180))/(1/TAN(85*3.14/180))*0.04*(F13/8)*2</f>
        <v>0.04</v>
      </c>
    </row>
    <row r="14" spans="1:9" ht="18">
      <c r="A14" s="1">
        <v>6</v>
      </c>
      <c r="B14" s="9">
        <f>(1/TAN(60*3.14/180))/(1/TAN(35*3.14/180))*0.33*(A14/8)*2</f>
        <v>0.20022456753244783</v>
      </c>
      <c r="C14" s="11">
        <f t="shared" si="4"/>
        <v>0.06</v>
      </c>
      <c r="F14" s="1">
        <v>6</v>
      </c>
      <c r="G14" s="9">
        <f>(1/TAN(55*3.14/180))/(1/TAN(35*3.14/180))*0.33*(F14/8)*2</f>
        <v>0.24278520746004351</v>
      </c>
      <c r="H14" s="11">
        <f t="shared" si="5"/>
        <v>0.06</v>
      </c>
    </row>
    <row r="15" spans="1:9" ht="18">
      <c r="A15" s="1">
        <v>8</v>
      </c>
      <c r="B15" s="4">
        <f>(1/TAN(60*3.14/180))/(1/TAN(35*3.14/180))*0.33*(A15/8)*2</f>
        <v>0.26696609004326377</v>
      </c>
      <c r="C15" s="13">
        <f t="shared" si="4"/>
        <v>0.08</v>
      </c>
      <c r="F15" s="1">
        <v>8</v>
      </c>
      <c r="G15" s="4">
        <f>(1/TAN(55*3.14/180))/(1/TAN(35*3.14/180))*0.33*(F15/8)*2</f>
        <v>0.32371360994672466</v>
      </c>
      <c r="H15" s="13">
        <f t="shared" si="5"/>
        <v>0.08</v>
      </c>
    </row>
    <row r="16" spans="1:9">
      <c r="E16"/>
    </row>
    <row r="17" spans="1:9" ht="18">
      <c r="A17" s="6" t="s">
        <v>15</v>
      </c>
      <c r="B17" s="7"/>
      <c r="C17" s="7"/>
      <c r="D17" s="7"/>
      <c r="E17"/>
      <c r="F17" s="6" t="s">
        <v>16</v>
      </c>
      <c r="G17" s="7"/>
      <c r="H17" s="7"/>
      <c r="I17" s="7"/>
    </row>
    <row r="18" spans="1:9" ht="18">
      <c r="A18" s="1"/>
      <c r="B18" s="2" t="s">
        <v>2</v>
      </c>
      <c r="C18" s="2"/>
      <c r="D18" s="5"/>
      <c r="E18"/>
      <c r="F18" s="1"/>
      <c r="G18" s="2" t="s">
        <v>2</v>
      </c>
      <c r="H18" s="2"/>
      <c r="I18" s="5"/>
    </row>
    <row r="19" spans="1:9" ht="18">
      <c r="A19" s="1" t="s">
        <v>27</v>
      </c>
      <c r="B19" s="4">
        <f>B3</f>
        <v>0.2311001779978947</v>
      </c>
      <c r="C19" s="4"/>
      <c r="E19"/>
      <c r="F19" s="1" t="s">
        <v>40</v>
      </c>
      <c r="G19" s="4">
        <f>G3</f>
        <v>0.27539311910781905</v>
      </c>
      <c r="H19" s="4"/>
    </row>
    <row r="20" spans="1:9" ht="18">
      <c r="A20" s="1" t="s">
        <v>29</v>
      </c>
      <c r="B20" s="4">
        <f t="shared" ref="B20:B21" si="6">B4</f>
        <v>0.34665026699684204</v>
      </c>
      <c r="C20" s="4"/>
      <c r="E20"/>
      <c r="F20" s="1" t="s">
        <v>41</v>
      </c>
      <c r="G20" s="4">
        <f t="shared" ref="G20:G21" si="7">G4</f>
        <v>0.41308967866172858</v>
      </c>
      <c r="H20" s="4"/>
    </row>
    <row r="21" spans="1:9" ht="18">
      <c r="A21" s="1" t="s">
        <v>31</v>
      </c>
      <c r="B21" s="4">
        <f t="shared" si="6"/>
        <v>0.4622003559957894</v>
      </c>
      <c r="C21" s="4"/>
      <c r="E21"/>
      <c r="F21" s="1" t="s">
        <v>42</v>
      </c>
      <c r="G21" s="4">
        <f t="shared" si="7"/>
        <v>0.5507862382156381</v>
      </c>
      <c r="H21" s="4"/>
    </row>
    <row r="22" spans="1:9" ht="18">
      <c r="A22" s="1" t="s">
        <v>37</v>
      </c>
      <c r="B22" s="4">
        <f>B8</f>
        <v>0.16185680497336233</v>
      </c>
      <c r="C22" s="4"/>
      <c r="F22" s="1" t="s">
        <v>44</v>
      </c>
      <c r="G22" s="4">
        <f>G8</f>
        <v>0.19393586626404685</v>
      </c>
      <c r="H22" s="4"/>
    </row>
    <row r="23" spans="1:9" ht="18">
      <c r="A23" s="1" t="s">
        <v>38</v>
      </c>
      <c r="B23" s="4">
        <f>B9</f>
        <v>0.24278520746004351</v>
      </c>
      <c r="C23" s="4"/>
      <c r="F23" s="1" t="s">
        <v>46</v>
      </c>
      <c r="G23" s="4">
        <f>G9</f>
        <v>0.29090379939607025</v>
      </c>
      <c r="H23" s="4"/>
    </row>
    <row r="24" spans="1:9" ht="18">
      <c r="A24" s="1" t="s">
        <v>39</v>
      </c>
      <c r="B24" s="4">
        <f t="shared" ref="B24" si="8">B10</f>
        <v>0.32371360994672466</v>
      </c>
      <c r="C24" s="4"/>
      <c r="F24" s="1" t="s">
        <v>48</v>
      </c>
      <c r="G24" s="4">
        <f t="shared" ref="G24" si="9">G10</f>
        <v>0.3878717325280937</v>
      </c>
      <c r="H24" s="4"/>
    </row>
    <row r="25" spans="1:9" ht="18">
      <c r="A25" s="1" t="s">
        <v>20</v>
      </c>
      <c r="B25" s="4">
        <f>B13</f>
        <v>0.13348304502163189</v>
      </c>
      <c r="C25" s="4"/>
      <c r="F25" s="1" t="s">
        <v>37</v>
      </c>
      <c r="G25" s="4">
        <f>G13</f>
        <v>0.16185680497336233</v>
      </c>
      <c r="H25" s="4"/>
    </row>
    <row r="26" spans="1:9" ht="18">
      <c r="A26" s="1" t="s">
        <v>21</v>
      </c>
      <c r="B26" s="4">
        <f>B14</f>
        <v>0.20022456753244783</v>
      </c>
      <c r="C26" s="4"/>
      <c r="F26" s="1" t="s">
        <v>38</v>
      </c>
      <c r="G26" s="4">
        <f>G14</f>
        <v>0.24278520746004351</v>
      </c>
      <c r="H26" s="4"/>
    </row>
    <row r="27" spans="1:9" ht="18">
      <c r="A27" s="1" t="s">
        <v>22</v>
      </c>
      <c r="B27" s="4">
        <f t="shared" ref="B27" si="10">B15</f>
        <v>0.26696609004326377</v>
      </c>
      <c r="C27" s="4"/>
      <c r="F27" s="1" t="s">
        <v>39</v>
      </c>
      <c r="G27" s="4">
        <f>G15</f>
        <v>0.32371360994672466</v>
      </c>
      <c r="H27" s="4"/>
    </row>
    <row r="28" spans="1:9" ht="18">
      <c r="A28" s="1" t="s">
        <v>23</v>
      </c>
      <c r="B28" s="4">
        <f>D3</f>
        <v>0.1652967874318452</v>
      </c>
      <c r="C28" s="4"/>
      <c r="F28" s="1" t="s">
        <v>4</v>
      </c>
      <c r="G28" s="4">
        <f>H3</f>
        <v>0.04</v>
      </c>
      <c r="H28" s="4"/>
    </row>
    <row r="29" spans="1:9" ht="18">
      <c r="A29" s="1" t="s">
        <v>24</v>
      </c>
      <c r="B29" s="4">
        <f>D4</f>
        <v>0.24794518114776781</v>
      </c>
      <c r="C29" s="4"/>
      <c r="F29" s="1" t="s">
        <v>6</v>
      </c>
      <c r="G29" s="4">
        <f>H4</f>
        <v>0.06</v>
      </c>
      <c r="H29" s="4"/>
    </row>
    <row r="30" spans="1:9" ht="18">
      <c r="A30" s="1" t="s">
        <v>25</v>
      </c>
      <c r="B30" s="4">
        <f t="shared" ref="B30" si="11">D5</f>
        <v>0.3305935748636904</v>
      </c>
      <c r="C30" s="4"/>
      <c r="F30" s="1" t="s">
        <v>8</v>
      </c>
      <c r="G30" s="4">
        <f>H5</f>
        <v>0.08</v>
      </c>
      <c r="H30" s="4"/>
    </row>
    <row r="31" spans="1:9" ht="18">
      <c r="A31" s="1" t="s">
        <v>4</v>
      </c>
      <c r="B31" s="4">
        <f>C3</f>
        <v>0.04</v>
      </c>
      <c r="C31" s="4"/>
      <c r="H31" s="4"/>
    </row>
    <row r="32" spans="1:9" ht="18">
      <c r="A32" s="1" t="s">
        <v>6</v>
      </c>
      <c r="B32" s="4">
        <f>C4</f>
        <v>0.06</v>
      </c>
      <c r="C32" s="4"/>
      <c r="H32" s="4"/>
    </row>
    <row r="33" spans="1:9" ht="18">
      <c r="A33" s="1" t="s">
        <v>8</v>
      </c>
      <c r="B33" s="4">
        <f t="shared" ref="B33" si="12">C5</f>
        <v>0.08</v>
      </c>
      <c r="C33" s="4"/>
      <c r="H33" s="4"/>
    </row>
    <row r="35" spans="1:9" ht="18" customHeight="1">
      <c r="A35" s="6" t="s">
        <v>17</v>
      </c>
      <c r="B35" s="7"/>
      <c r="C35" s="7"/>
      <c r="D35" s="7"/>
      <c r="F35" s="6" t="s">
        <v>18</v>
      </c>
      <c r="G35" s="7"/>
      <c r="H35" s="7"/>
      <c r="I35" s="7"/>
    </row>
    <row r="36" spans="1:9" ht="18">
      <c r="A36" s="1"/>
      <c r="B36" s="2" t="s">
        <v>2</v>
      </c>
      <c r="C36" s="2"/>
      <c r="D36" s="5"/>
      <c r="F36" s="1"/>
      <c r="G36" s="2" t="s">
        <v>2</v>
      </c>
      <c r="H36" s="2"/>
      <c r="I36" s="5"/>
    </row>
    <row r="37" spans="1:9" ht="18">
      <c r="A37" s="1" t="s">
        <v>30</v>
      </c>
      <c r="B37" s="4">
        <v>0.4622003559957894</v>
      </c>
      <c r="C37" s="4"/>
      <c r="F37" s="1" t="s">
        <v>25</v>
      </c>
      <c r="G37" s="4">
        <v>0.33059357466368999</v>
      </c>
      <c r="H37" s="4"/>
    </row>
    <row r="38" spans="1:9" ht="18">
      <c r="A38" s="1" t="s">
        <v>28</v>
      </c>
      <c r="B38" s="4">
        <v>0.34665026699684204</v>
      </c>
      <c r="C38" s="4"/>
      <c r="F38" s="1" t="s">
        <v>24</v>
      </c>
      <c r="G38" s="4">
        <v>0.24794518114776781</v>
      </c>
      <c r="H38" s="4"/>
    </row>
    <row r="39" spans="1:9" ht="18">
      <c r="A39" s="1" t="s">
        <v>14</v>
      </c>
      <c r="B39" s="4">
        <v>0.32371360994672466</v>
      </c>
      <c r="C39" s="4"/>
      <c r="F39" s="1" t="s">
        <v>23</v>
      </c>
      <c r="G39" s="4">
        <v>0.1652967874318452</v>
      </c>
      <c r="H39" s="4"/>
    </row>
    <row r="40" spans="1:9" ht="18">
      <c r="A40" s="1" t="s">
        <v>22</v>
      </c>
      <c r="B40" s="4">
        <v>0.26696609004326377</v>
      </c>
      <c r="C40" s="4"/>
      <c r="F40" s="1" t="s">
        <v>7</v>
      </c>
      <c r="G40" s="4">
        <v>0.08</v>
      </c>
      <c r="H40" s="4"/>
    </row>
    <row r="41" spans="1:9" ht="18">
      <c r="A41" s="1" t="s">
        <v>13</v>
      </c>
      <c r="B41" s="4">
        <v>0.24278520746004351</v>
      </c>
      <c r="C41" s="4"/>
      <c r="F41" s="1" t="s">
        <v>5</v>
      </c>
      <c r="G41" s="4">
        <v>0.06</v>
      </c>
      <c r="H41" s="4"/>
    </row>
    <row r="42" spans="1:9" ht="18">
      <c r="A42" s="1" t="s">
        <v>26</v>
      </c>
      <c r="B42" s="4">
        <v>0.2311001779978947</v>
      </c>
      <c r="C42" s="4"/>
      <c r="F42" s="1" t="s">
        <v>3</v>
      </c>
      <c r="G42" s="4">
        <v>0.04</v>
      </c>
      <c r="H42" s="4"/>
    </row>
    <row r="43" spans="1:9" ht="18">
      <c r="A43" s="1" t="s">
        <v>21</v>
      </c>
      <c r="B43" s="4">
        <v>0.20022456753244783</v>
      </c>
      <c r="C43" s="4"/>
      <c r="F43" s="1"/>
      <c r="G43" s="4"/>
      <c r="H43" s="4"/>
    </row>
    <row r="44" spans="1:9" ht="18">
      <c r="A44" s="1" t="s">
        <v>12</v>
      </c>
      <c r="B44" s="4">
        <v>0.16185680497336233</v>
      </c>
      <c r="C44" s="4"/>
      <c r="F44" s="1"/>
      <c r="G44" s="4"/>
      <c r="H44" s="4"/>
    </row>
    <row r="45" spans="1:9" ht="18">
      <c r="A45" s="1" t="s">
        <v>20</v>
      </c>
      <c r="B45" s="4">
        <v>0.13348304502163189</v>
      </c>
      <c r="C45" s="4"/>
      <c r="F45" s="1"/>
      <c r="G45" s="4"/>
      <c r="H45" s="4"/>
    </row>
    <row r="46" spans="1:9" ht="18">
      <c r="A46" s="1"/>
      <c r="B46" s="4"/>
      <c r="C46" s="4"/>
    </row>
    <row r="47" spans="1:9" ht="18">
      <c r="A47" s="1" t="s">
        <v>11</v>
      </c>
      <c r="B47" s="4">
        <v>0.5507862382156381</v>
      </c>
      <c r="C47" s="4"/>
    </row>
    <row r="48" spans="1:9" ht="18">
      <c r="A48" s="1" t="s">
        <v>10</v>
      </c>
      <c r="B48" s="4">
        <v>0.41308967866172858</v>
      </c>
      <c r="C48" s="4"/>
    </row>
    <row r="49" spans="1:3" ht="18">
      <c r="A49" s="1" t="s">
        <v>47</v>
      </c>
      <c r="B49" s="4">
        <v>0.3878717325280937</v>
      </c>
      <c r="C49" s="4"/>
    </row>
    <row r="50" spans="1:3" ht="18">
      <c r="A50" s="1" t="s">
        <v>14</v>
      </c>
      <c r="B50" s="4">
        <v>0.32371360994672466</v>
      </c>
      <c r="C50" s="4"/>
    </row>
    <row r="51" spans="1:3" ht="18">
      <c r="A51" s="1" t="s">
        <v>45</v>
      </c>
      <c r="B51" s="4">
        <v>0.29090379939607025</v>
      </c>
      <c r="C51" s="4"/>
    </row>
    <row r="52" spans="1:3" ht="18">
      <c r="A52" s="1" t="s">
        <v>9</v>
      </c>
      <c r="B52" s="4">
        <v>0.27539311910781905</v>
      </c>
      <c r="C52" s="4"/>
    </row>
    <row r="53" spans="1:3" ht="18">
      <c r="A53" s="1" t="s">
        <v>13</v>
      </c>
      <c r="B53" s="4">
        <v>0.24278520746004351</v>
      </c>
      <c r="C53" s="4"/>
    </row>
    <row r="54" spans="1:3" ht="18">
      <c r="A54" s="1" t="s">
        <v>43</v>
      </c>
      <c r="B54" s="4">
        <v>0.19393586626404685</v>
      </c>
      <c r="C54" s="4"/>
    </row>
    <row r="55" spans="1:3" ht="18">
      <c r="A55" s="1" t="s">
        <v>12</v>
      </c>
      <c r="B55" s="4">
        <v>0.16185680497336233</v>
      </c>
      <c r="C55" s="4"/>
    </row>
    <row r="56" spans="1:3" ht="18">
      <c r="A56" s="1"/>
      <c r="B56" s="4"/>
      <c r="C56" s="4"/>
    </row>
    <row r="57" spans="1:3" ht="18">
      <c r="A57" s="1"/>
      <c r="B57" s="4"/>
      <c r="C57" s="4"/>
    </row>
    <row r="58" spans="1:3" ht="18">
      <c r="A58" s="1"/>
      <c r="B58" s="4"/>
      <c r="C58" s="4"/>
    </row>
  </sheetData>
  <sortState xmlns:xlrd2="http://schemas.microsoft.com/office/spreadsheetml/2017/richdata2" ref="A37:B45">
    <sortCondition descending="1" ref="B37:B45"/>
  </sortState>
  <mergeCells count="10">
    <mergeCell ref="F35:I35"/>
    <mergeCell ref="A1:D1"/>
    <mergeCell ref="A6:D6"/>
    <mergeCell ref="A11:D11"/>
    <mergeCell ref="A17:D17"/>
    <mergeCell ref="A35:D35"/>
    <mergeCell ref="F1:I1"/>
    <mergeCell ref="F6:I6"/>
    <mergeCell ref="F11:I11"/>
    <mergeCell ref="F17:I1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Un1corn Prog</dc:creator>
  <cp:lastModifiedBy>Un1corn Prog</cp:lastModifiedBy>
  <dcterms:created xsi:type="dcterms:W3CDTF">2025-09-27T13:05:59Z</dcterms:created>
  <dcterms:modified xsi:type="dcterms:W3CDTF">2025-11-04T20:35:04Z</dcterms:modified>
</cp:coreProperties>
</file>