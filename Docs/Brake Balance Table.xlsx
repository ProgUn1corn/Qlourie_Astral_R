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d030e980fc414b5/Documents/BeamNG/"/>
    </mc:Choice>
  </mc:AlternateContent>
  <xr:revisionPtr revIDLastSave="479" documentId="8_{52CC542D-2C42-4976-9315-1380CBB8CA71}" xr6:coauthVersionLast="47" xr6:coauthVersionMax="47" xr10:uidLastSave="{1CB6A1F3-B2D2-4C10-966A-222217C6B1CC}"/>
  <bookViews>
    <workbookView xWindow="-110" yWindow="-110" windowWidth="25820" windowHeight="16220" xr2:uid="{D4416D72-3604-43CB-A686-6E38D6CE2D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E9" i="1"/>
  <c r="D5" i="1"/>
  <c r="E13" i="1" s="1"/>
  <c r="D4" i="1"/>
  <c r="E12" i="1" s="1"/>
  <c r="B2" i="1"/>
  <c r="B5" i="1" s="1"/>
  <c r="C13" i="1" s="1"/>
  <c r="F13" i="1" s="1"/>
  <c r="C2" i="1"/>
  <c r="C5" i="1" s="1"/>
  <c r="D13" i="1" s="1"/>
  <c r="E10" i="1" l="1"/>
  <c r="E11" i="1"/>
  <c r="E8" i="1"/>
  <c r="B3" i="1"/>
  <c r="B4" i="1"/>
  <c r="C3" i="1"/>
  <c r="C4" i="1"/>
  <c r="D10" i="1" l="1"/>
  <c r="D8" i="1"/>
  <c r="D9" i="1"/>
  <c r="D11" i="1"/>
  <c r="D12" i="1"/>
  <c r="C11" i="1"/>
  <c r="F11" i="1" s="1"/>
  <c r="C12" i="1"/>
  <c r="F12" i="1" s="1"/>
  <c r="C10" i="1"/>
  <c r="F10" i="1" s="1"/>
  <c r="C8" i="1"/>
  <c r="F8" i="1" s="1"/>
  <c r="C9" i="1"/>
  <c r="F9" i="1" s="1"/>
</calcChain>
</file>

<file path=xl/sharedStrings.xml><?xml version="1.0" encoding="utf-8"?>
<sst xmlns="http://schemas.openxmlformats.org/spreadsheetml/2006/main" count="15" uniqueCount="15">
  <si>
    <t>P</t>
    <phoneticPr fontId="1" type="noConversion"/>
  </si>
  <si>
    <t>17.42+17.42</t>
    <phoneticPr fontId="1" type="noConversion"/>
  </si>
  <si>
    <t>17.42+19</t>
    <phoneticPr fontId="1" type="noConversion"/>
  </si>
  <si>
    <t>17.42+21.38</t>
    <phoneticPr fontId="1" type="noConversion"/>
  </si>
  <si>
    <t>19+19</t>
    <phoneticPr fontId="1" type="noConversion"/>
  </si>
  <si>
    <t>19+21.38</t>
    <phoneticPr fontId="1" type="noConversion"/>
  </si>
  <si>
    <t>21.38+21.38</t>
    <phoneticPr fontId="1" type="noConversion"/>
  </si>
  <si>
    <t>300mm</t>
    <phoneticPr fontId="1" type="noConversion"/>
  </si>
  <si>
    <t>355mm</t>
    <phoneticPr fontId="1" type="noConversion"/>
  </si>
  <si>
    <t>370mm</t>
    <phoneticPr fontId="1" type="noConversion"/>
  </si>
  <si>
    <t>BB/PAD</t>
    <phoneticPr fontId="1" type="noConversion"/>
  </si>
  <si>
    <t>TOTAL 300mm</t>
    <phoneticPr fontId="1" type="noConversion"/>
  </si>
  <si>
    <t>FINAL BB</t>
    <phoneticPr fontId="1" type="noConversion"/>
  </si>
  <si>
    <t>TOTAL 355mm</t>
    <phoneticPr fontId="1" type="noConversion"/>
  </si>
  <si>
    <t>TOTAL 370mm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</si>
</sst>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name val="等线"/>
      <family val="2"/>
      <scheme val="minor"/>
    </font>
    <font>
      <b/>
      <sz val="14"/>
      <color theme="1"/>
      <name val="等线"/>
      <family val="2"/>
      <scheme val="minor"/>
    </font>
    <font>
      <b/>
      <sz val="14"/>
      <color theme="0"/>
      <name val="等线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3" fillId="0" borderId="0" xfId="0" applyFont="1" applyAlignment="1">
      <alignment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A2CF9-C721-44C5-8A93-F91D726F5388}">
  <dimension ref="A1:J13"/>
  <sheetViews>
    <sheetView tabSelected="1" topLeftCell="A7" zoomScale="160" zoomScaleNormal="160" workbookViewId="0">
      <selection activeCell="B11" sqref="B11:B13"/>
    </sheetView>
  </sheetViews>
  <sheetFormatPr defaultRowHeight="40" customHeight="1"/>
  <cols>
    <col min="1" max="6" width="15.58203125" customWidth="1"/>
    <col min="7" max="7" width="14.58203125" bestFit="1" customWidth="1"/>
    <col min="8" max="9" width="12.08203125" bestFit="1" customWidth="1"/>
    <col min="10" max="10" width="29.08203125" customWidth="1"/>
    <col min="11" max="11" width="30.5" customWidth="1"/>
  </cols>
  <sheetData>
    <row r="1" spans="1:10" ht="40" customHeight="1">
      <c r="A1" s="11"/>
      <c r="B1" s="12" t="s">
        <v>7</v>
      </c>
      <c r="C1" s="12" t="s">
        <v>8</v>
      </c>
      <c r="D1" s="13" t="s">
        <v>9</v>
      </c>
    </row>
    <row r="2" spans="1:10" ht="40" customHeight="1">
      <c r="A2" s="2"/>
      <c r="B2" s="3">
        <f t="shared" ref="B2" si="0">D2*(300/370)</f>
        <v>2533.7837837837837</v>
      </c>
      <c r="C2" s="3">
        <f t="shared" ref="C2" si="1">D2*(355/370)</f>
        <v>2998.3108108108108</v>
      </c>
      <c r="D2" s="4">
        <v>3125</v>
      </c>
    </row>
    <row r="3" spans="1:10" ht="40" customHeight="1">
      <c r="A3" s="5">
        <v>17.420000000000002</v>
      </c>
      <c r="B3" s="6">
        <f>B2*1.19</f>
        <v>3015.2027027027025</v>
      </c>
      <c r="C3" s="6">
        <f>C2*1.19</f>
        <v>3567.9898648648646</v>
      </c>
      <c r="D3" s="7">
        <f>D2*1.19</f>
        <v>3718.75</v>
      </c>
    </row>
    <row r="4" spans="1:10" ht="40" customHeight="1">
      <c r="A4" s="2">
        <v>19</v>
      </c>
      <c r="B4" s="6">
        <f>B2*1</f>
        <v>2533.7837837837837</v>
      </c>
      <c r="C4" s="6">
        <f>C2*1</f>
        <v>2998.3108108108108</v>
      </c>
      <c r="D4" s="7">
        <f>D2*1</f>
        <v>3125</v>
      </c>
    </row>
    <row r="5" spans="1:10" ht="40" customHeight="1">
      <c r="A5" s="8">
        <v>21.38</v>
      </c>
      <c r="B5" s="9">
        <f>B2*0.79</f>
        <v>2001.6891891891892</v>
      </c>
      <c r="C5" s="9">
        <f>C2*0.79</f>
        <v>2368.6655405405409</v>
      </c>
      <c r="D5" s="10">
        <f>D2*0.79</f>
        <v>2468.75</v>
      </c>
    </row>
    <row r="7" spans="1:10" ht="40" customHeight="1">
      <c r="A7" s="11" t="s">
        <v>0</v>
      </c>
      <c r="B7" s="12" t="s">
        <v>10</v>
      </c>
      <c r="C7" s="12" t="s">
        <v>11</v>
      </c>
      <c r="D7" s="12" t="s">
        <v>13</v>
      </c>
      <c r="E7" s="14" t="s">
        <v>14</v>
      </c>
      <c r="F7" s="14" t="s">
        <v>12</v>
      </c>
      <c r="G7" s="1"/>
      <c r="H7" s="15"/>
      <c r="I7" s="15"/>
      <c r="J7" s="1"/>
    </row>
    <row r="8" spans="1:10" ht="40" customHeight="1">
      <c r="A8" s="5" t="s">
        <v>1</v>
      </c>
      <c r="B8" s="16">
        <v>0.55000000000000004</v>
      </c>
      <c r="C8" s="6">
        <f>B3*B11*B8+B3*B11*(1-B8)</f>
        <v>2562.9222972972971</v>
      </c>
      <c r="D8" s="6">
        <f>C3*B11*B8+C3*B11*(1-B8)</f>
        <v>3032.791385135135</v>
      </c>
      <c r="E8" s="6">
        <f>D3*B11*B8+D3*B11*(1-B8)</f>
        <v>3160.9375</v>
      </c>
      <c r="F8" s="6">
        <f>B3*B11*B8/C8</f>
        <v>0.55000000000000004</v>
      </c>
    </row>
    <row r="9" spans="1:10" ht="40" customHeight="1">
      <c r="A9" s="2" t="s">
        <v>2</v>
      </c>
      <c r="B9" s="17"/>
      <c r="C9" s="6">
        <f>B3*B11*B8+B4*B11*(1-B8)</f>
        <v>2378.7795608108108</v>
      </c>
      <c r="D9" s="6">
        <f>C3*B11*B8+C4*B11*(1-B8)</f>
        <v>2814.8891469594591</v>
      </c>
      <c r="E9" s="6">
        <f>D3*B11*B8+D4*B11*(1-B8)</f>
        <v>2933.828125</v>
      </c>
      <c r="F9" s="6">
        <f>B3*B11*B8/C9</f>
        <v>0.59257582616568583</v>
      </c>
    </row>
    <row r="10" spans="1:10" ht="40" customHeight="1">
      <c r="A10" s="2" t="s">
        <v>3</v>
      </c>
      <c r="B10" s="17"/>
      <c r="C10" s="6">
        <f>B3*B11*B8+B5*B11*(1-B8)</f>
        <v>2175.2533783783783</v>
      </c>
      <c r="D10" s="6">
        <f>C3*B11*B8+C5*B11*(1-B8)</f>
        <v>2574.0498310810813</v>
      </c>
      <c r="E10" s="6">
        <f>D3*B11*B8+D5*B11*(1-B8)</f>
        <v>2682.8125</v>
      </c>
      <c r="F10" s="6">
        <f>B3*B11*B8/C10</f>
        <v>0.64801980198019804</v>
      </c>
    </row>
    <row r="11" spans="1:10" ht="40" customHeight="1">
      <c r="A11" s="2" t="s">
        <v>4</v>
      </c>
      <c r="B11" s="17">
        <v>0.85</v>
      </c>
      <c r="C11" s="6">
        <f>B4*B11*B8+B4*B11*(1-B8)</f>
        <v>2153.7162162162163</v>
      </c>
      <c r="D11" s="6">
        <f>C4*B11*B8+C4*B11*(1-B8)</f>
        <v>2548.5641891891892</v>
      </c>
      <c r="E11" s="6">
        <f>D4*B11*B8+D4*B11*(1-B8)</f>
        <v>2656.25</v>
      </c>
      <c r="F11" s="6">
        <f>B4*B11*B8/C11</f>
        <v>0.55000000000000004</v>
      </c>
    </row>
    <row r="12" spans="1:10" ht="40" customHeight="1">
      <c r="A12" s="2" t="s">
        <v>5</v>
      </c>
      <c r="B12" s="17"/>
      <c r="C12" s="6">
        <f>B4*B11*B8+B5*B11*(1-B8)</f>
        <v>1950.1900337837837</v>
      </c>
      <c r="D12" s="6">
        <f>C4*B11*B8+C5*B11*(1-B8)</f>
        <v>2307.7248733108108</v>
      </c>
      <c r="E12" s="6">
        <f>D4*B11*B8+D5*B11*(1-B8)</f>
        <v>2405.234375</v>
      </c>
      <c r="F12" s="6">
        <f>B4*B11*B8/C12</f>
        <v>0.60739922694643844</v>
      </c>
    </row>
    <row r="13" spans="1:10" ht="40" customHeight="1">
      <c r="A13" s="8" t="s">
        <v>6</v>
      </c>
      <c r="B13" s="18"/>
      <c r="C13" s="9">
        <f>B5*B11*B8+B5*B11*(1-B8)</f>
        <v>1701.4358108108108</v>
      </c>
      <c r="D13" s="6">
        <f>C5*B11*B8+C5*B11*(1-B8)</f>
        <v>2013.3657094594596</v>
      </c>
      <c r="E13" s="6">
        <f>D5*B11*B8+D5*B11*(1-B8)</f>
        <v>2098.4375</v>
      </c>
      <c r="F13" s="6">
        <f>B5*B11*B8/C13</f>
        <v>0.55000000000000004</v>
      </c>
    </row>
  </sheetData>
  <mergeCells count="3">
    <mergeCell ref="H7:I7"/>
    <mergeCell ref="B8:B10"/>
    <mergeCell ref="B11:B1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Un1corn Prog</dc:creator>
  <cp:lastModifiedBy>Un1corn Prog</cp:lastModifiedBy>
  <dcterms:created xsi:type="dcterms:W3CDTF">2025-09-27T13:05:59Z</dcterms:created>
  <dcterms:modified xsi:type="dcterms:W3CDTF">2026-02-21T19:00:46Z</dcterms:modified>
</cp:coreProperties>
</file>