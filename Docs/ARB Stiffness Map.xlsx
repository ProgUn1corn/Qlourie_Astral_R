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030e980fc414b5/Documents/BeamNG/"/>
    </mc:Choice>
  </mc:AlternateContent>
  <xr:revisionPtr revIDLastSave="1004" documentId="8_{52CC542D-2C42-4976-9315-1380CBB8CA71}" xr6:coauthVersionLast="47" xr6:coauthVersionMax="47" xr10:uidLastSave="{73BE00D3-6235-437E-B8E1-69F8E7A658BE}"/>
  <bookViews>
    <workbookView xWindow="-120" yWindow="-120" windowWidth="38640" windowHeight="21840" xr2:uid="{D4416D72-3604-43CB-A686-6E38D6CE2DE9}"/>
  </bookViews>
  <sheets>
    <sheet name="Tarmac" sheetId="2" r:id="rId1"/>
    <sheet name="Grav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G24" i="2" s="1"/>
  <c r="D23" i="2"/>
  <c r="G23" i="2" s="1"/>
  <c r="D22" i="2"/>
  <c r="G22" i="2" s="1"/>
  <c r="D21" i="2"/>
  <c r="G21" i="2" s="1"/>
  <c r="D20" i="2"/>
  <c r="G20" i="2" s="1"/>
  <c r="D19" i="2"/>
  <c r="G19" i="2" s="1"/>
  <c r="D16" i="2"/>
  <c r="G16" i="2" s="1"/>
  <c r="D15" i="2"/>
  <c r="G15" i="2" s="1"/>
  <c r="D14" i="2"/>
  <c r="G14" i="2" s="1"/>
  <c r="D13" i="2"/>
  <c r="G13" i="2" s="1"/>
  <c r="D12" i="2"/>
  <c r="G12" i="2" s="1"/>
  <c r="D11" i="2"/>
  <c r="G11" i="2" s="1"/>
  <c r="D8" i="2"/>
  <c r="G8" i="2" s="1"/>
  <c r="D7" i="2"/>
  <c r="G7" i="2" s="1"/>
  <c r="D6" i="2"/>
  <c r="G6" i="2" s="1"/>
  <c r="D5" i="2"/>
  <c r="G5" i="2" s="1"/>
  <c r="D4" i="2"/>
  <c r="G4" i="2" s="1"/>
  <c r="D3" i="2"/>
  <c r="G3" i="2" s="1"/>
  <c r="D24" i="1"/>
  <c r="G24" i="1" s="1"/>
  <c r="D23" i="1"/>
  <c r="G23" i="1" s="1"/>
  <c r="D22" i="1"/>
  <c r="G22" i="1" s="1"/>
  <c r="D21" i="1"/>
  <c r="G21" i="1" s="1"/>
  <c r="D20" i="1"/>
  <c r="G20" i="1" s="1"/>
  <c r="D19" i="1"/>
  <c r="G19" i="1" s="1"/>
  <c r="D16" i="1"/>
  <c r="G16" i="1" s="1"/>
  <c r="D15" i="1"/>
  <c r="G15" i="1" s="1"/>
  <c r="D14" i="1"/>
  <c r="G14" i="1" s="1"/>
  <c r="D13" i="1"/>
  <c r="G13" i="1" s="1"/>
  <c r="D12" i="1"/>
  <c r="G12" i="1" s="1"/>
  <c r="D11" i="1"/>
  <c r="G11" i="1" s="1"/>
  <c r="D6" i="1"/>
  <c r="G6" i="1" s="1"/>
  <c r="D4" i="1"/>
  <c r="G4" i="1" s="1"/>
  <c r="D7" i="1"/>
  <c r="G7" i="1" s="1"/>
  <c r="D3" i="1"/>
  <c r="G3" i="1" s="1"/>
  <c r="D5" i="1"/>
  <c r="G5" i="1" s="1"/>
  <c r="D8" i="1"/>
  <c r="G8" i="1" s="1"/>
</calcChain>
</file>

<file path=xl/sharedStrings.xml><?xml version="1.0" encoding="utf-8"?>
<sst xmlns="http://schemas.openxmlformats.org/spreadsheetml/2006/main" count="79" uniqueCount="19">
  <si>
    <t>Wheel</t>
    <phoneticPr fontId="1" type="noConversion"/>
  </si>
  <si>
    <t>ARB</t>
    <phoneticPr fontId="1" type="noConversion"/>
  </si>
  <si>
    <t>MOTION RATIO</t>
    <phoneticPr fontId="1" type="noConversion"/>
  </si>
  <si>
    <t>CANTILEVER</t>
    <phoneticPr fontId="1" type="noConversion"/>
  </si>
  <si>
    <t>TORSION</t>
    <phoneticPr fontId="1" type="noConversion"/>
  </si>
  <si>
    <t>NORMAL</t>
    <phoneticPr fontId="1" type="noConversion"/>
  </si>
  <si>
    <t>SOFT INNTER</t>
    <phoneticPr fontId="1" type="noConversion"/>
  </si>
  <si>
    <t>SOFT MIDDLE</t>
    <phoneticPr fontId="1" type="noConversion"/>
  </si>
  <si>
    <t>SOFT OUTER</t>
    <phoneticPr fontId="1" type="noConversion"/>
  </si>
  <si>
    <t>MIDDLE INNTER</t>
    <phoneticPr fontId="1" type="noConversion"/>
  </si>
  <si>
    <t>MIDDLE MIDDLE</t>
    <phoneticPr fontId="1" type="noConversion"/>
  </si>
  <si>
    <t>MIDDLE OUTER</t>
    <phoneticPr fontId="1" type="noConversion"/>
  </si>
  <si>
    <t>HARD INNTER</t>
    <phoneticPr fontId="1" type="noConversion"/>
  </si>
  <si>
    <t>HARD MIDDLE</t>
    <phoneticPr fontId="1" type="noConversion"/>
  </si>
  <si>
    <t>HARD OUTER</t>
    <phoneticPr fontId="1" type="noConversion"/>
  </si>
  <si>
    <t>.</t>
    <phoneticPr fontId="1" type="noConversion"/>
  </si>
  <si>
    <t>13.41/14.03mm</t>
    <phoneticPr fontId="1" type="noConversion"/>
  </si>
  <si>
    <t>17.65/17.93mm</t>
    <phoneticPr fontId="1" type="noConversion"/>
  </si>
  <si>
    <t>15.53/16.09mm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</si>
</sst>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scheme val="minor"/>
    </font>
    <font>
      <b/>
      <sz val="14"/>
      <name val="等线"/>
      <scheme val="minor"/>
    </font>
    <font>
      <b/>
      <sz val="14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4"/>
      <color theme="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等线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等线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等线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等线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等线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TARMAC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FRONT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(Tarmac!$A$3:$A$5,Tarmac!$A$11:$A$13,Tarmac!$A$19:$A$21)</c:f>
              <c:strCache>
                <c:ptCount val="9"/>
                <c:pt idx="0">
                  <c:v>SOFT INNTER</c:v>
                </c:pt>
                <c:pt idx="1">
                  <c:v>SOFT MIDDLE</c:v>
                </c:pt>
                <c:pt idx="2">
                  <c:v>SOFT OUTER</c:v>
                </c:pt>
                <c:pt idx="3">
                  <c:v>MIDDLE INNTER</c:v>
                </c:pt>
                <c:pt idx="4">
                  <c:v>MIDDLE MIDDLE</c:v>
                </c:pt>
                <c:pt idx="5">
                  <c:v>MIDDLE OUTER</c:v>
                </c:pt>
                <c:pt idx="6">
                  <c:v>HARD INNTER</c:v>
                </c:pt>
                <c:pt idx="7">
                  <c:v>HARD MIDDLE</c:v>
                </c:pt>
                <c:pt idx="8">
                  <c:v>HARD OUTER</c:v>
                </c:pt>
              </c:strCache>
            </c:strRef>
          </c:cat>
          <c:val>
            <c:numRef>
              <c:f>(Tarmac!$G$3:$G$5,Tarmac!$G$11:$G$13,Tarmac!$G$19:$G$21)</c:f>
              <c:numCache>
                <c:formatCode>General</c:formatCode>
                <c:ptCount val="9"/>
                <c:pt idx="0">
                  <c:v>1.1451030307592466E-2</c:v>
                </c:pt>
                <c:pt idx="1">
                  <c:v>1.3741236369110963E-2</c:v>
                </c:pt>
                <c:pt idx="2">
                  <c:v>1.4600063642180396E-2</c:v>
                </c:pt>
                <c:pt idx="3">
                  <c:v>2.0632384289277664E-2</c:v>
                </c:pt>
                <c:pt idx="4">
                  <c:v>2.4758861147133198E-2</c:v>
                </c:pt>
                <c:pt idx="5">
                  <c:v>2.6306289968829017E-2</c:v>
                </c:pt>
                <c:pt idx="6">
                  <c:v>3.4239036836048391E-2</c:v>
                </c:pt>
                <c:pt idx="7">
                  <c:v>4.1086844203258074E-2</c:v>
                </c:pt>
                <c:pt idx="8">
                  <c:v>4.3654771965961695E-2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8-4E8C-850F-448D3241762F}"/>
            </c:ext>
          </c:extLst>
        </c:ser>
        <c:ser>
          <c:idx val="1"/>
          <c:order val="1"/>
          <c:tx>
            <c:v>REAR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(Tarmac!$A$3:$A$5,Tarmac!$A$11:$A$13,Tarmac!$A$19:$A$21)</c:f>
              <c:strCache>
                <c:ptCount val="9"/>
                <c:pt idx="0">
                  <c:v>SOFT INNTER</c:v>
                </c:pt>
                <c:pt idx="1">
                  <c:v>SOFT MIDDLE</c:v>
                </c:pt>
                <c:pt idx="2">
                  <c:v>SOFT OUTER</c:v>
                </c:pt>
                <c:pt idx="3">
                  <c:v>MIDDLE INNTER</c:v>
                </c:pt>
                <c:pt idx="4">
                  <c:v>MIDDLE MIDDLE</c:v>
                </c:pt>
                <c:pt idx="5">
                  <c:v>MIDDLE OUTER</c:v>
                </c:pt>
                <c:pt idx="6">
                  <c:v>HARD INNTER</c:v>
                </c:pt>
                <c:pt idx="7">
                  <c:v>HARD MIDDLE</c:v>
                </c:pt>
                <c:pt idx="8">
                  <c:v>HARD OUTER</c:v>
                </c:pt>
              </c:strCache>
            </c:strRef>
          </c:cat>
          <c:val>
            <c:numRef>
              <c:f>(Tarmac!$G$6:$G$8,Tarmac!$G$14:$G$16,Tarmac!$G$22:$G$24)</c:f>
              <c:numCache>
                <c:formatCode>General</c:formatCode>
                <c:ptCount val="9"/>
                <c:pt idx="0">
                  <c:v>2.0723488820609093E-2</c:v>
                </c:pt>
                <c:pt idx="1">
                  <c:v>2.3409867001058422E-2</c:v>
                </c:pt>
                <c:pt idx="2">
                  <c:v>2.5328708558522227E-2</c:v>
                </c:pt>
                <c:pt idx="3">
                  <c:v>3.5094634332353138E-2</c:v>
                </c:pt>
                <c:pt idx="4">
                  <c:v>3.9643938782843356E-2</c:v>
                </c:pt>
                <c:pt idx="5">
                  <c:v>4.2893441961764943E-2</c:v>
                </c:pt>
                <c:pt idx="6">
                  <c:v>5.2963693562225467E-2</c:v>
                </c:pt>
                <c:pt idx="7">
                  <c:v>5.9829357542513957E-2</c:v>
                </c:pt>
                <c:pt idx="8">
                  <c:v>6.473340324272002E-2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8-4E8C-850F-448D32417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395599"/>
        <c:axId val="1725394159"/>
      </c:barChart>
      <c:catAx>
        <c:axId val="172539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5394159"/>
        <c:crosses val="autoZero"/>
        <c:auto val="1"/>
        <c:lblAlgn val="ctr"/>
        <c:lblOffset val="100"/>
        <c:noMultiLvlLbl val="0"/>
      </c:catAx>
      <c:valAx>
        <c:axId val="17253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539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4812267495414067E-2"/>
          <c:y val="0.11600128467658724"/>
          <c:w val="0.94110872309925331"/>
          <c:h val="0.8064772401421445"/>
        </c:manualLayout>
      </c:layout>
      <c:barChart>
        <c:barDir val="col"/>
        <c:grouping val="clustered"/>
        <c:varyColors val="0"/>
        <c:ser>
          <c:idx val="0"/>
          <c:order val="0"/>
          <c:tx>
            <c:v>FRONT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(Gravel!$A$3:$A$5,Gravel!$A$11:$A$13,Gravel!$A$19:$A$21)</c:f>
              <c:strCache>
                <c:ptCount val="9"/>
                <c:pt idx="0">
                  <c:v>SOFT INNTER</c:v>
                </c:pt>
                <c:pt idx="1">
                  <c:v>SOFT MIDDLE</c:v>
                </c:pt>
                <c:pt idx="2">
                  <c:v>SOFT OUTER</c:v>
                </c:pt>
                <c:pt idx="3">
                  <c:v>MIDDLE INNTER</c:v>
                </c:pt>
                <c:pt idx="4">
                  <c:v>MIDDLE MIDDLE</c:v>
                </c:pt>
                <c:pt idx="5">
                  <c:v>MIDDLE OUTER</c:v>
                </c:pt>
                <c:pt idx="6">
                  <c:v>HARD INNTER</c:v>
                </c:pt>
                <c:pt idx="7">
                  <c:v>HARD MIDDLE</c:v>
                </c:pt>
                <c:pt idx="8">
                  <c:v>HARD OUTER</c:v>
                </c:pt>
              </c:strCache>
            </c:strRef>
          </c:cat>
          <c:val>
            <c:numRef>
              <c:f>(Gravel!$G$3:$G$5,Gravel!$G$11:$G$13,Gravel!$G$19:$G$21)</c:f>
              <c:numCache>
                <c:formatCode>General</c:formatCode>
                <c:ptCount val="9"/>
                <c:pt idx="0">
                  <c:v>1.0221452463088686E-2</c:v>
                </c:pt>
                <c:pt idx="1">
                  <c:v>1.2699380332928365E-2</c:v>
                </c:pt>
                <c:pt idx="2">
                  <c:v>1.4248085251578167E-2</c:v>
                </c:pt>
                <c:pt idx="3">
                  <c:v>1.8416939746740472E-2</c:v>
                </c:pt>
                <c:pt idx="4">
                  <c:v>2.2881652412616946E-2</c:v>
                </c:pt>
                <c:pt idx="5">
                  <c:v>2.5672097828789747E-2</c:v>
                </c:pt>
                <c:pt idx="6">
                  <c:v>3.0562550093816965E-2</c:v>
                </c:pt>
                <c:pt idx="7">
                  <c:v>3.7971653146863495E-2</c:v>
                </c:pt>
                <c:pt idx="8">
                  <c:v>4.2602342555017589E-2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3-414F-8D42-30AC496A9FB0}"/>
            </c:ext>
          </c:extLst>
        </c:ser>
        <c:ser>
          <c:idx val="1"/>
          <c:order val="1"/>
          <c:tx>
            <c:v>REAR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(Gravel!$A$3:$A$5,Gravel!$A$11:$A$13,Gravel!$A$19:$A$21)</c:f>
              <c:strCache>
                <c:ptCount val="9"/>
                <c:pt idx="0">
                  <c:v>SOFT INNTER</c:v>
                </c:pt>
                <c:pt idx="1">
                  <c:v>SOFT MIDDLE</c:v>
                </c:pt>
                <c:pt idx="2">
                  <c:v>SOFT OUTER</c:v>
                </c:pt>
                <c:pt idx="3">
                  <c:v>MIDDLE INNTER</c:v>
                </c:pt>
                <c:pt idx="4">
                  <c:v>MIDDLE MIDDLE</c:v>
                </c:pt>
                <c:pt idx="5">
                  <c:v>MIDDLE OUTER</c:v>
                </c:pt>
                <c:pt idx="6">
                  <c:v>HARD INNTER</c:v>
                </c:pt>
                <c:pt idx="7">
                  <c:v>HARD MIDDLE</c:v>
                </c:pt>
                <c:pt idx="8">
                  <c:v>HARD OUTER</c:v>
                </c:pt>
              </c:strCache>
            </c:strRef>
          </c:cat>
          <c:val>
            <c:numRef>
              <c:f>(Gravel!$G$6:$G$8,Gravel!$G$14:$G$16,Gravel!$G$22:$G$24)</c:f>
              <c:numCache>
                <c:formatCode>General</c:formatCode>
                <c:ptCount val="9"/>
                <c:pt idx="0">
                  <c:v>2.0402633347065959E-2</c:v>
                </c:pt>
                <c:pt idx="1">
                  <c:v>2.3875422001885704E-2</c:v>
                </c:pt>
                <c:pt idx="2">
                  <c:v>2.5611816329295569E-2</c:v>
                </c:pt>
                <c:pt idx="3">
                  <c:v>3.4551274784402314E-2</c:v>
                </c:pt>
                <c:pt idx="4">
                  <c:v>4.0432342832811219E-2</c:v>
                </c:pt>
                <c:pt idx="5">
                  <c:v>4.3372876857015671E-2</c:v>
                </c:pt>
                <c:pt idx="6">
                  <c:v>5.2143672805797563E-2</c:v>
                </c:pt>
                <c:pt idx="7">
                  <c:v>6.1019191581252477E-2</c:v>
                </c:pt>
                <c:pt idx="8">
                  <c:v>6.5456950968979924E-2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33-414F-8D42-30AC496A9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395599"/>
        <c:axId val="1725394159"/>
      </c:barChart>
      <c:catAx>
        <c:axId val="172539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5394159"/>
        <c:crosses val="autoZero"/>
        <c:auto val="1"/>
        <c:lblAlgn val="ctr"/>
        <c:lblOffset val="100"/>
        <c:noMultiLvlLbl val="0"/>
      </c:catAx>
      <c:valAx>
        <c:axId val="17253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539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21981</xdr:colOff>
      <xdr:row>3</xdr:row>
      <xdr:rowOff>159726</xdr:rowOff>
    </xdr:from>
    <xdr:to>
      <xdr:col>20</xdr:col>
      <xdr:colOff>95249</xdr:colOff>
      <xdr:row>20</xdr:row>
      <xdr:rowOff>219807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D85804-D3E6-44ED-A8C7-7D0D89FD9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22151</xdr:colOff>
      <xdr:row>2</xdr:row>
      <xdr:rowOff>205164</xdr:rowOff>
    </xdr:from>
    <xdr:to>
      <xdr:col>20</xdr:col>
      <xdr:colOff>115753</xdr:colOff>
      <xdr:row>20</xdr:row>
      <xdr:rowOff>36237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FA238D5-2AD2-2965-CD3D-11E83EC33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7C6B4E-D8C9-4073-A8B2-3AC1FCD1DADC}" name="表1_6" displayName="表1_6" ref="B2:G8" totalsRowShown="0" headerRowDxfId="47" dataDxfId="46">
  <autoFilter ref="B2:G8" xr:uid="{3D2A340A-0690-4DC8-927E-FE8D1BB734CB}"/>
  <tableColumns count="6">
    <tableColumn id="1" xr3:uid="{B8F3A288-9FF2-4A3A-89C2-FB0C7553941F}" name="Wheel" dataDxfId="45"/>
    <tableColumn id="2" xr3:uid="{772F205F-9B3A-4FE5-A1B8-862C5D16F956}" name="ARB" dataDxfId="44"/>
    <tableColumn id="3" xr3:uid="{8EFC5114-561D-401D-9E23-D06C634ECD16}" name="MOTION RATIO" dataDxfId="43">
      <calculatedColumnFormula>表1_6[[#This Row],[ARB]]/表1_6[[#This Row],[Wheel]]</calculatedColumnFormula>
    </tableColumn>
    <tableColumn id="4" xr3:uid="{92304CA7-B80B-4E14-9D5E-DF1B530591D3}" name="CANTILEVER" dataDxfId="42"/>
    <tableColumn id="15" xr3:uid="{33259B9F-E071-496E-9E0F-FFF4FB732FF2}" name="TORSION" dataDxfId="41"/>
    <tableColumn id="5" xr3:uid="{D6344C61-2A9A-4E19-AA81-96BE88DF5F64}" name="NORMAL" dataDxfId="40">
      <calculatedColumnFormula>表1_6[[#This Row],[MOTION RATIO]]*表1_6[[#This Row],[TORSION]]/表1_6[[#This Row],[CANTILEVER]]/表1_6[[#This Row],[CANTILEVER]]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B164DE-ED54-4093-B3D1-3D06324DC7CD}" name="表1_47" displayName="表1_47" ref="B10:G16" totalsRowShown="0" headerRowDxfId="39" dataDxfId="38">
  <autoFilter ref="B10:G16" xr:uid="{34C4E870-3033-4640-B8A2-3E1FBE4B7F1C}"/>
  <tableColumns count="6">
    <tableColumn id="1" xr3:uid="{FAD72ABC-0066-4C42-A1AC-03A3728796E5}" name="Wheel" dataDxfId="37"/>
    <tableColumn id="2" xr3:uid="{71EDC2A1-50A4-422B-B1EA-57AAB120DF86}" name="ARB" dataDxfId="36"/>
    <tableColumn id="3" xr3:uid="{B198618F-C6AB-4943-88D8-B91E28D42407}" name="MOTION RATIO" dataDxfId="35">
      <calculatedColumnFormula>表1_47[[#This Row],[ARB]]/表1_47[[#This Row],[Wheel]]</calculatedColumnFormula>
    </tableColumn>
    <tableColumn id="4" xr3:uid="{0D950A5D-AE90-4CA8-B0FA-7C7669B74CD6}" name="CANTILEVER" dataDxfId="34"/>
    <tableColumn id="15" xr3:uid="{FD285504-685D-43B5-9C8F-A6479E55FAC6}" name="TORSION" dataDxfId="33"/>
    <tableColumn id="5" xr3:uid="{5C8AE37F-186E-499F-B0E8-E35BA5E34290}" name="NORMAL" dataDxfId="32">
      <calculatedColumnFormula>表1_47[[#This Row],[MOTION RATIO]]*表1_47[[#This Row],[TORSION]]/表1_47[[#This Row],[CANTILEVER]]/表1_47[[#This Row],[CANTILEVER]]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A6FC0C-7708-4022-A939-45EE4AD521DD}" name="表1_458" displayName="表1_458" ref="B18:G24" totalsRowShown="0" headerRowDxfId="31" dataDxfId="30">
  <autoFilter ref="B18:G24" xr:uid="{28C9A949-AC86-4498-990F-EEB55A882ECE}"/>
  <tableColumns count="6">
    <tableColumn id="1" xr3:uid="{44F2A1F6-CC53-4052-BAF5-FEBE5AA593B1}" name="Wheel" dataDxfId="29"/>
    <tableColumn id="2" xr3:uid="{9B3FCF63-702D-40CF-9D2D-EDEA09D00BC1}" name="ARB" dataDxfId="28"/>
    <tableColumn id="3" xr3:uid="{51BC0E25-0E77-4001-BA6E-EBAFE70AEB41}" name="MOTION RATIO" dataDxfId="27">
      <calculatedColumnFormula>表1_458[[#This Row],[ARB]]/表1_458[[#This Row],[Wheel]]</calculatedColumnFormula>
    </tableColumn>
    <tableColumn id="4" xr3:uid="{4D3E5808-BFEB-47FF-ABED-535FB1EE40EB}" name="CANTILEVER" dataDxfId="26"/>
    <tableColumn id="15" xr3:uid="{75717941-E6E8-45B1-A3F2-E5791D86F7A2}" name="TORSION" dataDxfId="2"/>
    <tableColumn id="5" xr3:uid="{0A5F1668-A137-4A0C-8A4F-A027387CE002}" name="NORMAL" dataDxfId="25">
      <calculatedColumnFormula>表1_458[[#This Row],[MOTION RATIO]]*表1_458[[#This Row],[TORSION]]/表1_458[[#This Row],[CANTILEVER]]/表1_458[[#This Row],[CANTILEVER]]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A340A-0690-4DC8-927E-FE8D1BB734CB}" name="表1" displayName="表1" ref="B2:G8" totalsRowShown="0" headerRowDxfId="24" dataDxfId="23">
  <autoFilter ref="B2:G8" xr:uid="{3D2A340A-0690-4DC8-927E-FE8D1BB734CB}"/>
  <tableColumns count="6">
    <tableColumn id="1" xr3:uid="{BA9E0710-49E4-4631-8796-9828152C79EE}" name="Wheel" dataDxfId="22"/>
    <tableColumn id="2" xr3:uid="{A7265771-FFDE-4F9C-A20D-93503DF684C3}" name="ARB" dataDxfId="21"/>
    <tableColumn id="3" xr3:uid="{57924571-BD22-49F6-B47E-E7227CAD786C}" name="MOTION RATIO" dataDxfId="20">
      <calculatedColumnFormula>表1[[#This Row],[ARB]]/表1[[#This Row],[Wheel]]</calculatedColumnFormula>
    </tableColumn>
    <tableColumn id="4" xr3:uid="{968F555E-16ED-4EED-9489-491EA1BF772E}" name="CANTILEVER" dataDxfId="19"/>
    <tableColumn id="15" xr3:uid="{573D6EAF-FDE3-4C6E-8E40-9F81E52EF9F5}" name="TORSION" dataDxfId="18"/>
    <tableColumn id="5" xr3:uid="{EE2C02EC-821C-4B70-94B8-8337649055CF}" name="NORMAL" dataDxfId="17">
      <calculatedColumnFormula>表1[[#This Row],[MOTION RATIO]]*表1[[#This Row],[TORSION]]/表1[[#This Row],[CANTILEVER]]/表1[[#This Row],[CANTILEVER]]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C4E870-3033-4640-B8A2-3E1FBE4B7F1C}" name="表1_4" displayName="表1_4" ref="B10:G16" totalsRowShown="0" headerRowDxfId="16" dataDxfId="15">
  <autoFilter ref="B10:G16" xr:uid="{34C4E870-3033-4640-B8A2-3E1FBE4B7F1C}"/>
  <tableColumns count="6">
    <tableColumn id="1" xr3:uid="{31D6B5A6-29F6-40D0-ABAA-E5059C36D1B5}" name="Wheel" dataDxfId="14"/>
    <tableColumn id="2" xr3:uid="{3486DB28-9FB0-48EF-87CD-B65EF20F6F01}" name="ARB" dataDxfId="13"/>
    <tableColumn id="3" xr3:uid="{6E023114-623D-4902-941F-35E1479B6411}" name="MOTION RATIO" dataDxfId="12">
      <calculatedColumnFormula>表1_4[[#This Row],[ARB]]/表1_4[[#This Row],[Wheel]]</calculatedColumnFormula>
    </tableColumn>
    <tableColumn id="4" xr3:uid="{1FB8ED05-3D86-4769-81DB-F0DBDB3CDE44}" name="CANTILEVER" dataDxfId="11"/>
    <tableColumn id="15" xr3:uid="{1F17110F-EE9D-4BAE-9F87-AD8E1A304DBD}" name="TORSION" dataDxfId="0"/>
    <tableColumn id="5" xr3:uid="{D6DEE0EA-ADFE-4C3D-9F50-924215005D24}" name="NORMAL" dataDxfId="10">
      <calculatedColumnFormula>表1_4[[#This Row],[MOTION RATIO]]*表1_4[[#This Row],[TORSION]]/表1_4[[#This Row],[CANTILEVER]]/表1_4[[#This Row],[CANTILEVER]]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C9A949-AC86-4498-990F-EEB55A882ECE}" name="表1_45" displayName="表1_45" ref="B18:G24" totalsRowShown="0" headerRowDxfId="9" dataDxfId="8">
  <autoFilter ref="B18:G24" xr:uid="{28C9A949-AC86-4498-990F-EEB55A882ECE}"/>
  <tableColumns count="6">
    <tableColumn id="1" xr3:uid="{D7B341F8-7760-4D85-A77A-B67E1F741D90}" name="Wheel" dataDxfId="7"/>
    <tableColumn id="2" xr3:uid="{0A9FF6E6-A324-450D-B137-3B47806EA86D}" name="ARB" dataDxfId="6"/>
    <tableColumn id="3" xr3:uid="{137F4733-DE17-494E-9D05-D8BC09254548}" name="MOTION RATIO" dataDxfId="5">
      <calculatedColumnFormula>表1_45[[#This Row],[ARB]]/表1_45[[#This Row],[Wheel]]</calculatedColumnFormula>
    </tableColumn>
    <tableColumn id="4" xr3:uid="{402FC734-015E-48AD-9FFE-25F61C9EE630}" name="CANTILEVER" dataDxfId="4"/>
    <tableColumn id="15" xr3:uid="{757504BF-2C1C-43B0-8007-2964AF0461ED}" name="TORSION" dataDxfId="1"/>
    <tableColumn id="5" xr3:uid="{595E0B6D-3817-48BB-AE62-2A03988FE742}" name="NORMAL" dataDxfId="3">
      <calculatedColumnFormula>表1_45[[#This Row],[MOTION RATIO]]*表1_45[[#This Row],[TORSION]]/表1_45[[#This Row],[CANTILEVER]]/表1_45[[#This Row],[CANTILEVER]]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E970-EC50-4D75-94F5-6F1F7AAA6D94}">
  <dimension ref="A1:K24"/>
  <sheetViews>
    <sheetView tabSelected="1" zoomScale="130" zoomScaleNormal="130" workbookViewId="0">
      <selection activeCell="G13" sqref="G13"/>
    </sheetView>
  </sheetViews>
  <sheetFormatPr defaultRowHeight="14.25"/>
  <cols>
    <col min="1" max="1" width="19.5" bestFit="1" customWidth="1"/>
    <col min="2" max="2" width="12.5" bestFit="1" customWidth="1"/>
    <col min="3" max="3" width="10.25" bestFit="1" customWidth="1"/>
    <col min="4" max="4" width="23.75" bestFit="1" customWidth="1"/>
    <col min="5" max="5" width="19.875" bestFit="1" customWidth="1"/>
    <col min="6" max="6" width="16" bestFit="1" customWidth="1"/>
    <col min="7" max="7" width="16.75" bestFit="1" customWidth="1"/>
  </cols>
  <sheetData>
    <row r="1" spans="1:7" ht="18">
      <c r="A1" s="8" t="s">
        <v>16</v>
      </c>
      <c r="B1" s="9"/>
      <c r="C1" s="9"/>
      <c r="D1" s="9"/>
      <c r="E1" s="9"/>
      <c r="F1" s="9"/>
      <c r="G1" s="9"/>
    </row>
    <row r="2" spans="1:7" ht="18">
      <c r="A2" s="6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ht="18">
      <c r="A3" s="7" t="s">
        <v>6</v>
      </c>
      <c r="B3" s="2">
        <v>132</v>
      </c>
      <c r="C3" s="2">
        <v>40</v>
      </c>
      <c r="D3" s="2">
        <f>表1_6[[#This Row],[ARB]]/表1_6[[#This Row],[Wheel]]</f>
        <v>0.30303030303030304</v>
      </c>
      <c r="E3" s="3">
        <v>163</v>
      </c>
      <c r="F3" s="2">
        <v>1004</v>
      </c>
      <c r="G3" s="2">
        <f>表1_6[[#This Row],[MOTION RATIO]]*表1_6[[#This Row],[TORSION]]/表1_6[[#This Row],[CANTILEVER]]/表1_6[[#This Row],[CANTILEVER]]</f>
        <v>1.1451030307592466E-2</v>
      </c>
    </row>
    <row r="4" spans="1:7" ht="18">
      <c r="A4" s="7" t="s">
        <v>7</v>
      </c>
      <c r="B4" s="2">
        <v>132</v>
      </c>
      <c r="C4" s="2">
        <v>48</v>
      </c>
      <c r="D4" s="2">
        <f>表1_6[[#This Row],[ARB]]/表1_6[[#This Row],[Wheel]]</f>
        <v>0.36363636363636365</v>
      </c>
      <c r="E4" s="3">
        <v>163</v>
      </c>
      <c r="F4" s="2">
        <v>1004</v>
      </c>
      <c r="G4" s="2">
        <f>表1_6[[#This Row],[MOTION RATIO]]*表1_6[[#This Row],[TORSION]]/表1_6[[#This Row],[CANTILEVER]]/表1_6[[#This Row],[CANTILEVER]]</f>
        <v>1.3741236369110963E-2</v>
      </c>
    </row>
    <row r="5" spans="1:7" ht="18">
      <c r="A5" s="7" t="s">
        <v>8</v>
      </c>
      <c r="B5" s="2">
        <v>132</v>
      </c>
      <c r="C5" s="5">
        <v>51</v>
      </c>
      <c r="D5" s="5">
        <f>表1_6[[#This Row],[ARB]]/表1_6[[#This Row],[Wheel]]</f>
        <v>0.38636363636363635</v>
      </c>
      <c r="E5" s="3">
        <v>163</v>
      </c>
      <c r="F5" s="2">
        <v>1004</v>
      </c>
      <c r="G5" s="2">
        <f>表1_6[[#This Row],[MOTION RATIO]]*表1_6[[#This Row],[TORSION]]/表1_6[[#This Row],[CANTILEVER]]/表1_6[[#This Row],[CANTILEVER]]</f>
        <v>1.4600063642180396E-2</v>
      </c>
    </row>
    <row r="6" spans="1:7" ht="18">
      <c r="A6" s="7" t="s">
        <v>6</v>
      </c>
      <c r="B6" s="2">
        <v>138</v>
      </c>
      <c r="C6" s="5">
        <v>54</v>
      </c>
      <c r="D6" s="5">
        <f>表1_6[[#This Row],[ARB]]/表1_6[[#This Row],[Wheel]]</f>
        <v>0.39130434782608697</v>
      </c>
      <c r="E6" s="4">
        <v>154</v>
      </c>
      <c r="F6" s="5">
        <v>1256</v>
      </c>
      <c r="G6" s="2">
        <f>表1_6[[#This Row],[MOTION RATIO]]*表1_6[[#This Row],[TORSION]]/表1_6[[#This Row],[CANTILEVER]]/表1_6[[#This Row],[CANTILEVER]]</f>
        <v>2.0723488820609093E-2</v>
      </c>
    </row>
    <row r="7" spans="1:7" ht="18">
      <c r="A7" s="7" t="s">
        <v>7</v>
      </c>
      <c r="B7" s="2">
        <v>138</v>
      </c>
      <c r="C7" s="5">
        <v>61</v>
      </c>
      <c r="D7" s="5">
        <f>表1_6[[#This Row],[ARB]]/表1_6[[#This Row],[Wheel]]</f>
        <v>0.4420289855072464</v>
      </c>
      <c r="E7" s="4">
        <v>154</v>
      </c>
      <c r="F7" s="5">
        <v>1256</v>
      </c>
      <c r="G7" s="2">
        <f>表1_6[[#This Row],[MOTION RATIO]]*表1_6[[#This Row],[TORSION]]/表1_6[[#This Row],[CANTILEVER]]/表1_6[[#This Row],[CANTILEVER]]</f>
        <v>2.3409867001058422E-2</v>
      </c>
    </row>
    <row r="8" spans="1:7" ht="18">
      <c r="A8" s="7" t="s">
        <v>8</v>
      </c>
      <c r="B8" s="2">
        <v>138</v>
      </c>
      <c r="C8" s="5">
        <v>66</v>
      </c>
      <c r="D8" s="5">
        <f>表1_6[[#This Row],[ARB]]/表1_6[[#This Row],[Wheel]]</f>
        <v>0.47826086956521741</v>
      </c>
      <c r="E8" s="4">
        <v>154</v>
      </c>
      <c r="F8" s="5">
        <v>1256</v>
      </c>
      <c r="G8" s="2">
        <f>表1_6[[#This Row],[MOTION RATIO]]*表1_6[[#This Row],[TORSION]]/表1_6[[#This Row],[CANTILEVER]]/表1_6[[#This Row],[CANTILEVER]]</f>
        <v>2.5328708558522227E-2</v>
      </c>
    </row>
    <row r="9" spans="1:7" ht="18">
      <c r="A9" s="8" t="s">
        <v>18</v>
      </c>
      <c r="B9" s="9"/>
      <c r="C9" s="9"/>
      <c r="D9" s="9"/>
      <c r="E9" s="9"/>
      <c r="F9" s="9"/>
      <c r="G9" s="9"/>
    </row>
    <row r="10" spans="1:7" ht="18">
      <c r="A10" s="6"/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1:7" ht="18">
      <c r="A11" s="7" t="s">
        <v>9</v>
      </c>
      <c r="B11" s="2">
        <v>132</v>
      </c>
      <c r="C11" s="2">
        <v>40</v>
      </c>
      <c r="D11" s="2">
        <f>表1_47[[#This Row],[ARB]]/表1_47[[#This Row],[Wheel]]</f>
        <v>0.30303030303030304</v>
      </c>
      <c r="E11" s="3">
        <v>163</v>
      </c>
      <c r="F11" s="2">
        <v>1809</v>
      </c>
      <c r="G11" s="2">
        <f>表1_47[[#This Row],[MOTION RATIO]]*表1_47[[#This Row],[TORSION]]/表1_47[[#This Row],[CANTILEVER]]/表1_47[[#This Row],[CANTILEVER]]</f>
        <v>2.0632384289277664E-2</v>
      </c>
    </row>
    <row r="12" spans="1:7" ht="18">
      <c r="A12" s="7" t="s">
        <v>10</v>
      </c>
      <c r="B12" s="2">
        <v>132</v>
      </c>
      <c r="C12" s="2">
        <v>48</v>
      </c>
      <c r="D12" s="2">
        <f>表1_47[[#This Row],[ARB]]/表1_47[[#This Row],[Wheel]]</f>
        <v>0.36363636363636365</v>
      </c>
      <c r="E12" s="3">
        <v>163</v>
      </c>
      <c r="F12" s="2">
        <v>1809</v>
      </c>
      <c r="G12" s="2">
        <f>表1_47[[#This Row],[MOTION RATIO]]*表1_47[[#This Row],[TORSION]]/表1_47[[#This Row],[CANTILEVER]]/表1_47[[#This Row],[CANTILEVER]]</f>
        <v>2.4758861147133198E-2</v>
      </c>
    </row>
    <row r="13" spans="1:7" ht="18">
      <c r="A13" s="7" t="s">
        <v>11</v>
      </c>
      <c r="B13" s="2">
        <v>132</v>
      </c>
      <c r="C13" s="5">
        <v>51</v>
      </c>
      <c r="D13" s="5">
        <f>表1_47[[#This Row],[ARB]]/表1_47[[#This Row],[Wheel]]</f>
        <v>0.38636363636363635</v>
      </c>
      <c r="E13" s="3">
        <v>163</v>
      </c>
      <c r="F13" s="2">
        <v>1809</v>
      </c>
      <c r="G13" s="2">
        <f>表1_47[[#This Row],[MOTION RATIO]]*表1_47[[#This Row],[TORSION]]/表1_47[[#This Row],[CANTILEVER]]/表1_47[[#This Row],[CANTILEVER]]</f>
        <v>2.6306289968829017E-2</v>
      </c>
    </row>
    <row r="14" spans="1:7" ht="18">
      <c r="A14" s="7" t="s">
        <v>9</v>
      </c>
      <c r="B14" s="2">
        <v>138</v>
      </c>
      <c r="C14" s="5">
        <v>54</v>
      </c>
      <c r="D14" s="5">
        <f>表1_47[[#This Row],[ARB]]/表1_47[[#This Row],[Wheel]]</f>
        <v>0.39130434782608697</v>
      </c>
      <c r="E14" s="4">
        <v>154</v>
      </c>
      <c r="F14" s="5">
        <v>2127</v>
      </c>
      <c r="G14" s="2">
        <f>表1_47[[#This Row],[MOTION RATIO]]*表1_47[[#This Row],[TORSION]]/表1_47[[#This Row],[CANTILEVER]]/表1_47[[#This Row],[CANTILEVER]]</f>
        <v>3.5094634332353138E-2</v>
      </c>
    </row>
    <row r="15" spans="1:7" ht="18">
      <c r="A15" s="7" t="s">
        <v>10</v>
      </c>
      <c r="B15" s="2">
        <v>138</v>
      </c>
      <c r="C15" s="5">
        <v>61</v>
      </c>
      <c r="D15" s="5">
        <f>表1_47[[#This Row],[ARB]]/表1_47[[#This Row],[Wheel]]</f>
        <v>0.4420289855072464</v>
      </c>
      <c r="E15" s="4">
        <v>154</v>
      </c>
      <c r="F15" s="5">
        <v>2127</v>
      </c>
      <c r="G15" s="2">
        <f>表1_47[[#This Row],[MOTION RATIO]]*表1_47[[#This Row],[TORSION]]/表1_47[[#This Row],[CANTILEVER]]/表1_47[[#This Row],[CANTILEVER]]</f>
        <v>3.9643938782843356E-2</v>
      </c>
    </row>
    <row r="16" spans="1:7" ht="18">
      <c r="A16" s="7" t="s">
        <v>11</v>
      </c>
      <c r="B16" s="2">
        <v>138</v>
      </c>
      <c r="C16" s="5">
        <v>66</v>
      </c>
      <c r="D16" s="5">
        <f>表1_47[[#This Row],[ARB]]/表1_47[[#This Row],[Wheel]]</f>
        <v>0.47826086956521741</v>
      </c>
      <c r="E16" s="4">
        <v>154</v>
      </c>
      <c r="F16" s="5">
        <v>2127</v>
      </c>
      <c r="G16" s="2">
        <f>表1_47[[#This Row],[MOTION RATIO]]*表1_47[[#This Row],[TORSION]]/表1_47[[#This Row],[CANTILEVER]]/表1_47[[#This Row],[CANTILEVER]]</f>
        <v>4.2893441961764943E-2</v>
      </c>
    </row>
    <row r="17" spans="1:11" ht="18">
      <c r="A17" s="8" t="s">
        <v>17</v>
      </c>
      <c r="B17" s="9"/>
      <c r="C17" s="9"/>
      <c r="D17" s="9"/>
      <c r="E17" s="9"/>
      <c r="F17" s="9"/>
      <c r="G17" s="9"/>
    </row>
    <row r="18" spans="1:11" ht="18">
      <c r="A18" s="6"/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</row>
    <row r="19" spans="1:11" ht="18">
      <c r="A19" s="7" t="s">
        <v>12</v>
      </c>
      <c r="B19" s="2">
        <v>132</v>
      </c>
      <c r="C19" s="2">
        <v>40</v>
      </c>
      <c r="D19" s="2">
        <f>表1_458[[#This Row],[ARB]]/表1_458[[#This Row],[Wheel]]</f>
        <v>0.30303030303030304</v>
      </c>
      <c r="E19" s="3">
        <v>163</v>
      </c>
      <c r="F19" s="2">
        <v>3002</v>
      </c>
      <c r="G19" s="2">
        <f>表1_458[[#This Row],[MOTION RATIO]]*表1_458[[#This Row],[TORSION]]/表1_458[[#This Row],[CANTILEVER]]/表1_458[[#This Row],[CANTILEVER]]</f>
        <v>3.4239036836048391E-2</v>
      </c>
      <c r="I19">
        <v>223</v>
      </c>
      <c r="J19">
        <v>267</v>
      </c>
      <c r="K19">
        <v>236</v>
      </c>
    </row>
    <row r="20" spans="1:11" ht="18">
      <c r="A20" s="7" t="s">
        <v>13</v>
      </c>
      <c r="B20" s="2">
        <v>132</v>
      </c>
      <c r="C20" s="2">
        <v>48</v>
      </c>
      <c r="D20" s="2">
        <f>表1_458[[#This Row],[ARB]]/表1_458[[#This Row],[Wheel]]</f>
        <v>0.36363636363636365</v>
      </c>
      <c r="E20" s="3">
        <v>163</v>
      </c>
      <c r="F20" s="2">
        <v>3002</v>
      </c>
      <c r="G20" s="2">
        <f>表1_458[[#This Row],[MOTION RATIO]]*表1_458[[#This Row],[TORSION]]/表1_458[[#This Row],[CANTILEVER]]/表1_458[[#This Row],[CANTILEVER]]</f>
        <v>4.1086844203258074E-2</v>
      </c>
      <c r="I20">
        <v>238</v>
      </c>
      <c r="J20">
        <v>279</v>
      </c>
    </row>
    <row r="21" spans="1:11" ht="18">
      <c r="A21" s="7" t="s">
        <v>14</v>
      </c>
      <c r="B21" s="2">
        <v>132</v>
      </c>
      <c r="C21" s="5">
        <v>51</v>
      </c>
      <c r="D21" s="5">
        <f>表1_458[[#This Row],[ARB]]/表1_458[[#This Row],[Wheel]]</f>
        <v>0.38636363636363635</v>
      </c>
      <c r="E21" s="3">
        <v>163</v>
      </c>
      <c r="F21" s="2">
        <v>3002</v>
      </c>
      <c r="G21" s="2">
        <f>表1_458[[#This Row],[MOTION RATIO]]*表1_458[[#This Row],[TORSION]]/表1_458[[#This Row],[CANTILEVER]]/表1_458[[#This Row],[CANTILEVER]]</f>
        <v>4.3654771965961695E-2</v>
      </c>
    </row>
    <row r="22" spans="1:11" ht="18">
      <c r="A22" s="7" t="s">
        <v>12</v>
      </c>
      <c r="B22" s="2">
        <v>138</v>
      </c>
      <c r="C22" s="5">
        <v>54</v>
      </c>
      <c r="D22" s="5">
        <f>表1_458[[#This Row],[ARB]]/表1_458[[#This Row],[Wheel]]</f>
        <v>0.39130434782608697</v>
      </c>
      <c r="E22" s="4">
        <v>154</v>
      </c>
      <c r="F22" s="4">
        <v>3210</v>
      </c>
      <c r="G22" s="2">
        <f>表1_458[[#This Row],[MOTION RATIO]]*表1_458[[#This Row],[TORSION]]/表1_458[[#This Row],[CANTILEVER]]/表1_458[[#This Row],[CANTILEVER]]</f>
        <v>5.2963693562225467E-2</v>
      </c>
    </row>
    <row r="23" spans="1:11" ht="18">
      <c r="A23" s="7" t="s">
        <v>13</v>
      </c>
      <c r="B23" s="2">
        <v>138</v>
      </c>
      <c r="C23" s="5">
        <v>61</v>
      </c>
      <c r="D23" s="5">
        <f>表1_458[[#This Row],[ARB]]/表1_458[[#This Row],[Wheel]]</f>
        <v>0.4420289855072464</v>
      </c>
      <c r="E23" s="4">
        <v>154</v>
      </c>
      <c r="F23" s="4">
        <v>3210</v>
      </c>
      <c r="G23" s="2">
        <f>表1_458[[#This Row],[MOTION RATIO]]*表1_458[[#This Row],[TORSION]]/表1_458[[#This Row],[CANTILEVER]]/表1_458[[#This Row],[CANTILEVER]]</f>
        <v>5.9829357542513957E-2</v>
      </c>
    </row>
    <row r="24" spans="1:11" ht="18">
      <c r="A24" s="7" t="s">
        <v>14</v>
      </c>
      <c r="B24" s="2">
        <v>138</v>
      </c>
      <c r="C24" s="5">
        <v>66</v>
      </c>
      <c r="D24" s="5">
        <f>表1_458[[#This Row],[ARB]]/表1_458[[#This Row],[Wheel]]</f>
        <v>0.47826086956521741</v>
      </c>
      <c r="E24" s="4">
        <v>154</v>
      </c>
      <c r="F24" s="4">
        <v>3210</v>
      </c>
      <c r="G24" s="2">
        <f>表1_458[[#This Row],[MOTION RATIO]]*表1_458[[#This Row],[TORSION]]/表1_458[[#This Row],[CANTILEVER]]/表1_458[[#This Row],[CANTILEVER]]</f>
        <v>6.473340324272002E-2</v>
      </c>
    </row>
  </sheetData>
  <mergeCells count="3">
    <mergeCell ref="A1:G1"/>
    <mergeCell ref="A9:G9"/>
    <mergeCell ref="A17:G17"/>
  </mergeCells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2CF9-C721-44C5-8A93-F91D726F5388}">
  <dimension ref="A1:K24"/>
  <sheetViews>
    <sheetView zoomScale="129" zoomScaleNormal="130" workbookViewId="0">
      <selection activeCell="A9" sqref="A9:G9"/>
    </sheetView>
  </sheetViews>
  <sheetFormatPr defaultRowHeight="14.25"/>
  <cols>
    <col min="1" max="1" width="19.5" bestFit="1" customWidth="1"/>
    <col min="2" max="2" width="12.5" bestFit="1" customWidth="1"/>
    <col min="3" max="3" width="10.25" bestFit="1" customWidth="1"/>
    <col min="4" max="4" width="23.75" bestFit="1" customWidth="1"/>
    <col min="5" max="5" width="19.875" bestFit="1" customWidth="1"/>
    <col min="6" max="6" width="16" bestFit="1" customWidth="1"/>
    <col min="7" max="7" width="16.75" bestFit="1" customWidth="1"/>
  </cols>
  <sheetData>
    <row r="1" spans="1:11" ht="18">
      <c r="A1" s="8" t="s">
        <v>16</v>
      </c>
      <c r="B1" s="9"/>
      <c r="C1" s="9"/>
      <c r="D1" s="9"/>
      <c r="E1" s="9"/>
      <c r="F1" s="9"/>
      <c r="G1" s="9"/>
    </row>
    <row r="2" spans="1:11" ht="18">
      <c r="A2" s="6" t="s">
        <v>15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11" ht="18">
      <c r="A3" s="7" t="s">
        <v>6</v>
      </c>
      <c r="B3" s="2">
        <v>122</v>
      </c>
      <c r="C3" s="2">
        <v>33</v>
      </c>
      <c r="D3" s="2">
        <f>表1[[#This Row],[ARB]]/表1[[#This Row],[Wheel]]</f>
        <v>0.27049180327868855</v>
      </c>
      <c r="E3" s="3">
        <v>163</v>
      </c>
      <c r="F3" s="2">
        <v>1004</v>
      </c>
      <c r="G3" s="2">
        <f>表1[[#This Row],[MOTION RATIO]]*表1[[#This Row],[TORSION]]/表1[[#This Row],[CANTILEVER]]/表1[[#This Row],[CANTILEVER]]</f>
        <v>1.0221452463088686E-2</v>
      </c>
    </row>
    <row r="4" spans="1:11" ht="18">
      <c r="A4" s="7" t="s">
        <v>7</v>
      </c>
      <c r="B4" s="2">
        <v>122</v>
      </c>
      <c r="C4" s="2">
        <v>41</v>
      </c>
      <c r="D4" s="2">
        <f>表1[[#This Row],[ARB]]/表1[[#This Row],[Wheel]]</f>
        <v>0.33606557377049179</v>
      </c>
      <c r="E4" s="3">
        <v>163</v>
      </c>
      <c r="F4" s="2">
        <v>1004</v>
      </c>
      <c r="G4" s="2">
        <f>表1[[#This Row],[MOTION RATIO]]*表1[[#This Row],[TORSION]]/表1[[#This Row],[CANTILEVER]]/表1[[#This Row],[CANTILEVER]]</f>
        <v>1.2699380332928365E-2</v>
      </c>
    </row>
    <row r="5" spans="1:11" ht="18">
      <c r="A5" s="7" t="s">
        <v>8</v>
      </c>
      <c r="B5" s="2">
        <v>122</v>
      </c>
      <c r="C5" s="5">
        <v>46</v>
      </c>
      <c r="D5" s="5">
        <f>表1[[#This Row],[ARB]]/表1[[#This Row],[Wheel]]</f>
        <v>0.37704918032786883</v>
      </c>
      <c r="E5" s="3">
        <v>163</v>
      </c>
      <c r="F5" s="2">
        <v>1004</v>
      </c>
      <c r="G5" s="2">
        <f>表1[[#This Row],[MOTION RATIO]]*表1[[#This Row],[TORSION]]/表1[[#This Row],[CANTILEVER]]/表1[[#This Row],[CANTILEVER]]</f>
        <v>1.4248085251578167E-2</v>
      </c>
    </row>
    <row r="6" spans="1:11" ht="18">
      <c r="A6" s="7" t="s">
        <v>6</v>
      </c>
      <c r="B6" s="2">
        <v>122</v>
      </c>
      <c r="C6" s="5">
        <v>47</v>
      </c>
      <c r="D6" s="5">
        <f>表1[[#This Row],[ARB]]/表1[[#This Row],[Wheel]]</f>
        <v>0.38524590163934425</v>
      </c>
      <c r="E6" s="4">
        <v>154</v>
      </c>
      <c r="F6" s="5">
        <v>1256</v>
      </c>
      <c r="G6" s="2">
        <f>表1[[#This Row],[MOTION RATIO]]*表1[[#This Row],[TORSION]]/表1[[#This Row],[CANTILEVER]]/表1[[#This Row],[CANTILEVER]]</f>
        <v>2.0402633347065959E-2</v>
      </c>
      <c r="K6">
        <v>16</v>
      </c>
    </row>
    <row r="7" spans="1:11" ht="18">
      <c r="A7" s="7" t="s">
        <v>7</v>
      </c>
      <c r="B7" s="2">
        <v>122</v>
      </c>
      <c r="C7" s="5">
        <v>55</v>
      </c>
      <c r="D7" s="5">
        <f>表1[[#This Row],[ARB]]/表1[[#This Row],[Wheel]]</f>
        <v>0.45081967213114754</v>
      </c>
      <c r="E7" s="4">
        <v>154</v>
      </c>
      <c r="F7" s="5">
        <v>1256</v>
      </c>
      <c r="G7" s="2">
        <f>表1[[#This Row],[MOTION RATIO]]*表1[[#This Row],[TORSION]]/表1[[#This Row],[CANTILEVER]]/表1[[#This Row],[CANTILEVER]]</f>
        <v>2.3875422001885704E-2</v>
      </c>
      <c r="K7">
        <v>23</v>
      </c>
    </row>
    <row r="8" spans="1:11" ht="18">
      <c r="A8" s="7" t="s">
        <v>8</v>
      </c>
      <c r="B8" s="2">
        <v>122</v>
      </c>
      <c r="C8" s="5">
        <v>59</v>
      </c>
      <c r="D8" s="5">
        <f>表1[[#This Row],[ARB]]/表1[[#This Row],[Wheel]]</f>
        <v>0.48360655737704916</v>
      </c>
      <c r="E8" s="4">
        <v>154</v>
      </c>
      <c r="F8" s="5">
        <v>1256</v>
      </c>
      <c r="G8" s="2">
        <f>表1[[#This Row],[MOTION RATIO]]*表1[[#This Row],[TORSION]]/表1[[#This Row],[CANTILEVER]]/表1[[#This Row],[CANTILEVER]]</f>
        <v>2.5611816329295569E-2</v>
      </c>
      <c r="K8">
        <v>24</v>
      </c>
    </row>
    <row r="9" spans="1:11" ht="18">
      <c r="A9" s="8" t="s">
        <v>18</v>
      </c>
      <c r="B9" s="9"/>
      <c r="C9" s="9"/>
      <c r="D9" s="9"/>
      <c r="E9" s="9"/>
      <c r="F9" s="9"/>
      <c r="G9" s="9"/>
    </row>
    <row r="10" spans="1:11" ht="18">
      <c r="A10" s="6"/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1:11" ht="18">
      <c r="A11" s="7" t="s">
        <v>9</v>
      </c>
      <c r="B11" s="2">
        <v>122</v>
      </c>
      <c r="C11" s="2">
        <v>33</v>
      </c>
      <c r="D11" s="2">
        <f>表1_4[[#This Row],[ARB]]/表1_4[[#This Row],[Wheel]]</f>
        <v>0.27049180327868855</v>
      </c>
      <c r="E11" s="3">
        <v>163</v>
      </c>
      <c r="F11" s="2">
        <v>1809</v>
      </c>
      <c r="G11" s="2">
        <f>表1_4[[#This Row],[MOTION RATIO]]*表1_4[[#This Row],[TORSION]]/表1_4[[#This Row],[CANTILEVER]]/表1_4[[#This Row],[CANTILEVER]]</f>
        <v>1.8416939746740472E-2</v>
      </c>
    </row>
    <row r="12" spans="1:11" ht="18">
      <c r="A12" s="7" t="s">
        <v>10</v>
      </c>
      <c r="B12" s="2">
        <v>122</v>
      </c>
      <c r="C12" s="2">
        <v>41</v>
      </c>
      <c r="D12" s="2">
        <f>表1_4[[#This Row],[ARB]]/表1_4[[#This Row],[Wheel]]</f>
        <v>0.33606557377049179</v>
      </c>
      <c r="E12" s="3">
        <v>163</v>
      </c>
      <c r="F12" s="2">
        <v>1809</v>
      </c>
      <c r="G12" s="2">
        <f>表1_4[[#This Row],[MOTION RATIO]]*表1_4[[#This Row],[TORSION]]/表1_4[[#This Row],[CANTILEVER]]/表1_4[[#This Row],[CANTILEVER]]</f>
        <v>2.2881652412616946E-2</v>
      </c>
    </row>
    <row r="13" spans="1:11" ht="18">
      <c r="A13" s="7" t="s">
        <v>11</v>
      </c>
      <c r="B13" s="2">
        <v>122</v>
      </c>
      <c r="C13" s="5">
        <v>46</v>
      </c>
      <c r="D13" s="5">
        <f>表1_4[[#This Row],[ARB]]/表1_4[[#This Row],[Wheel]]</f>
        <v>0.37704918032786883</v>
      </c>
      <c r="E13" s="3">
        <v>163</v>
      </c>
      <c r="F13" s="2">
        <v>1809</v>
      </c>
      <c r="G13" s="2">
        <f>表1_4[[#This Row],[MOTION RATIO]]*表1_4[[#This Row],[TORSION]]/表1_4[[#This Row],[CANTILEVER]]/表1_4[[#This Row],[CANTILEVER]]</f>
        <v>2.5672097828789747E-2</v>
      </c>
    </row>
    <row r="14" spans="1:11" ht="18">
      <c r="A14" s="7" t="s">
        <v>9</v>
      </c>
      <c r="B14" s="2">
        <v>122</v>
      </c>
      <c r="C14" s="5">
        <v>47</v>
      </c>
      <c r="D14" s="5">
        <f>表1_4[[#This Row],[ARB]]/表1_4[[#This Row],[Wheel]]</f>
        <v>0.38524590163934425</v>
      </c>
      <c r="E14" s="4">
        <v>154</v>
      </c>
      <c r="F14" s="5">
        <v>2127</v>
      </c>
      <c r="G14" s="2">
        <f>表1_4[[#This Row],[MOTION RATIO]]*表1_4[[#This Row],[TORSION]]/表1_4[[#This Row],[CANTILEVER]]/表1_4[[#This Row],[CANTILEVER]]</f>
        <v>3.4551274784402314E-2</v>
      </c>
    </row>
    <row r="15" spans="1:11" ht="18">
      <c r="A15" s="7" t="s">
        <v>10</v>
      </c>
      <c r="B15" s="2">
        <v>122</v>
      </c>
      <c r="C15" s="5">
        <v>55</v>
      </c>
      <c r="D15" s="5">
        <f>表1_4[[#This Row],[ARB]]/表1_4[[#This Row],[Wheel]]</f>
        <v>0.45081967213114754</v>
      </c>
      <c r="E15" s="4">
        <v>154</v>
      </c>
      <c r="F15" s="5">
        <v>2127</v>
      </c>
      <c r="G15" s="2">
        <f>表1_4[[#This Row],[MOTION RATIO]]*表1_4[[#This Row],[TORSION]]/表1_4[[#This Row],[CANTILEVER]]/表1_4[[#This Row],[CANTILEVER]]</f>
        <v>4.0432342832811219E-2</v>
      </c>
    </row>
    <row r="16" spans="1:11" ht="18">
      <c r="A16" s="7" t="s">
        <v>11</v>
      </c>
      <c r="B16" s="2">
        <v>122</v>
      </c>
      <c r="C16" s="5">
        <v>59</v>
      </c>
      <c r="D16" s="5">
        <f>表1_4[[#This Row],[ARB]]/表1_4[[#This Row],[Wheel]]</f>
        <v>0.48360655737704916</v>
      </c>
      <c r="E16" s="4">
        <v>154</v>
      </c>
      <c r="F16" s="5">
        <v>2127</v>
      </c>
      <c r="G16" s="2">
        <f>表1_4[[#This Row],[MOTION RATIO]]*表1_4[[#This Row],[TORSION]]/表1_4[[#This Row],[CANTILEVER]]/表1_4[[#This Row],[CANTILEVER]]</f>
        <v>4.3372876857015671E-2</v>
      </c>
    </row>
    <row r="17" spans="1:7" ht="18">
      <c r="A17" s="8" t="s">
        <v>17</v>
      </c>
      <c r="B17" s="9"/>
      <c r="C17" s="9"/>
      <c r="D17" s="9"/>
      <c r="E17" s="9"/>
      <c r="F17" s="9"/>
      <c r="G17" s="9"/>
    </row>
    <row r="18" spans="1:7" ht="18">
      <c r="A18" s="6"/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</row>
    <row r="19" spans="1:7" ht="18">
      <c r="A19" s="7" t="s">
        <v>12</v>
      </c>
      <c r="B19" s="2">
        <v>122</v>
      </c>
      <c r="C19" s="2">
        <v>33</v>
      </c>
      <c r="D19" s="2">
        <f>表1_45[[#This Row],[ARB]]/表1_45[[#This Row],[Wheel]]</f>
        <v>0.27049180327868855</v>
      </c>
      <c r="E19" s="3">
        <v>163</v>
      </c>
      <c r="F19" s="2">
        <v>3002</v>
      </c>
      <c r="G19" s="2">
        <f>表1_45[[#This Row],[MOTION RATIO]]*表1_45[[#This Row],[TORSION]]/表1_45[[#This Row],[CANTILEVER]]/表1_45[[#This Row],[CANTILEVER]]</f>
        <v>3.0562550093816965E-2</v>
      </c>
    </row>
    <row r="20" spans="1:7" ht="18">
      <c r="A20" s="7" t="s">
        <v>13</v>
      </c>
      <c r="B20" s="2">
        <v>122</v>
      </c>
      <c r="C20" s="2">
        <v>41</v>
      </c>
      <c r="D20" s="2">
        <f>表1_45[[#This Row],[ARB]]/表1_45[[#This Row],[Wheel]]</f>
        <v>0.33606557377049179</v>
      </c>
      <c r="E20" s="3">
        <v>163</v>
      </c>
      <c r="F20" s="2">
        <v>3002</v>
      </c>
      <c r="G20" s="2">
        <f>表1_45[[#This Row],[MOTION RATIO]]*表1_45[[#This Row],[TORSION]]/表1_45[[#This Row],[CANTILEVER]]/表1_45[[#This Row],[CANTILEVER]]</f>
        <v>3.7971653146863495E-2</v>
      </c>
    </row>
    <row r="21" spans="1:7" ht="18">
      <c r="A21" s="7" t="s">
        <v>14</v>
      </c>
      <c r="B21" s="2">
        <v>122</v>
      </c>
      <c r="C21" s="5">
        <v>46</v>
      </c>
      <c r="D21" s="5">
        <f>表1_45[[#This Row],[ARB]]/表1_45[[#This Row],[Wheel]]</f>
        <v>0.37704918032786883</v>
      </c>
      <c r="E21" s="3">
        <v>163</v>
      </c>
      <c r="F21" s="2">
        <v>3002</v>
      </c>
      <c r="G21" s="2">
        <f>表1_45[[#This Row],[MOTION RATIO]]*表1_45[[#This Row],[TORSION]]/表1_45[[#This Row],[CANTILEVER]]/表1_45[[#This Row],[CANTILEVER]]</f>
        <v>4.2602342555017589E-2</v>
      </c>
    </row>
    <row r="22" spans="1:7" ht="18">
      <c r="A22" s="7" t="s">
        <v>12</v>
      </c>
      <c r="B22" s="2">
        <v>122</v>
      </c>
      <c r="C22" s="5">
        <v>47</v>
      </c>
      <c r="D22" s="5">
        <f>表1_45[[#This Row],[ARB]]/表1_45[[#This Row],[Wheel]]</f>
        <v>0.38524590163934425</v>
      </c>
      <c r="E22" s="4">
        <v>154</v>
      </c>
      <c r="F22" s="4">
        <v>3210</v>
      </c>
      <c r="G22" s="2">
        <f>表1_45[[#This Row],[MOTION RATIO]]*表1_45[[#This Row],[TORSION]]/表1_45[[#This Row],[CANTILEVER]]/表1_45[[#This Row],[CANTILEVER]]</f>
        <v>5.2143672805797563E-2</v>
      </c>
    </row>
    <row r="23" spans="1:7" ht="18">
      <c r="A23" s="7" t="s">
        <v>13</v>
      </c>
      <c r="B23" s="2">
        <v>122</v>
      </c>
      <c r="C23" s="5">
        <v>55</v>
      </c>
      <c r="D23" s="5">
        <f>表1_45[[#This Row],[ARB]]/表1_45[[#This Row],[Wheel]]</f>
        <v>0.45081967213114754</v>
      </c>
      <c r="E23" s="4">
        <v>154</v>
      </c>
      <c r="F23" s="4">
        <v>3210</v>
      </c>
      <c r="G23" s="2">
        <f>表1_45[[#This Row],[MOTION RATIO]]*表1_45[[#This Row],[TORSION]]/表1_45[[#This Row],[CANTILEVER]]/表1_45[[#This Row],[CANTILEVER]]</f>
        <v>6.1019191581252477E-2</v>
      </c>
    </row>
    <row r="24" spans="1:7" ht="18">
      <c r="A24" s="7" t="s">
        <v>14</v>
      </c>
      <c r="B24" s="2">
        <v>122</v>
      </c>
      <c r="C24" s="5">
        <v>59</v>
      </c>
      <c r="D24" s="5">
        <f>表1_45[[#This Row],[ARB]]/表1_45[[#This Row],[Wheel]]</f>
        <v>0.48360655737704916</v>
      </c>
      <c r="E24" s="4">
        <v>154</v>
      </c>
      <c r="F24" s="4">
        <v>3210</v>
      </c>
      <c r="G24" s="2">
        <f>表1_45[[#This Row],[MOTION RATIO]]*表1_45[[#This Row],[TORSION]]/表1_45[[#This Row],[CANTILEVER]]/表1_45[[#This Row],[CANTILEVER]]</f>
        <v>6.5456950968979924E-2</v>
      </c>
    </row>
  </sheetData>
  <mergeCells count="3">
    <mergeCell ref="A1:G1"/>
    <mergeCell ref="A9:G9"/>
    <mergeCell ref="A17:G17"/>
  </mergeCells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Tarmac</vt:lpstr>
      <vt:lpstr>Gravel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Un1corn Prog</dc:creator>
  <cp:lastModifiedBy>Un1corn Prog</cp:lastModifiedBy>
  <dcterms:created xsi:type="dcterms:W3CDTF">2025-09-27T13:05:59Z</dcterms:created>
  <dcterms:modified xsi:type="dcterms:W3CDTF">2025-11-06T20:31:08Z</dcterms:modified>
</cp:coreProperties>
</file>